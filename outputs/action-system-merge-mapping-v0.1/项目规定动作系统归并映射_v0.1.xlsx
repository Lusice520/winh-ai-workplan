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bcaae312e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归并总览" sheetId="1" r:id="Ra9d08e41a8c045c0"/>
    <x:sheet xmlns:r="http://schemas.openxmlformats.org/officeDocument/2006/relationships" name="02_系统单元清单" sheetId="2" r:id="R4100571ee349476c"/>
    <x:sheet xmlns:r="http://schemas.openxmlformats.org/officeDocument/2006/relationships" name="03_100项动作映射" sheetId="3" r:id="R0f7a32d77abe49a0"/>
    <x:sheet xmlns:r="http://schemas.openxmlformats.org/officeDocument/2006/relationships" name="04_归并规则" sheetId="4" r:id="R52e4369964a94b08"/>
    <x:sheet xmlns:r="http://schemas.openxmlformats.org/officeDocument/2006/relationships" name="05_待确认事项" sheetId="5" r:id="R1f88d2aeb72a48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Microsoft YaHei"/>
    </x:font>
    <x:font>
      <x:sz val="10"/>
      <x:color rgb="FF5F6F82"/>
      <x:name val="Microsoft YaHei"/>
    </x:font>
    <x:font>
      <x:sz val="9"/>
      <x:color rgb="FF74570B"/>
      <x:name val="Microsoft YaHei"/>
    </x:font>
    <x:font>
      <x:b/>
      <x:sz val="10"/>
      <x:color rgb="FFFFFFFF"/>
      <x:name val="Microsoft YaHei"/>
    </x:font>
    <x:font>
      <x:sz val="10"/>
      <x:color rgb="FF17233B"/>
      <x:name val="Microsoft YaHei"/>
    </x:font>
    <x:font>
      <x:sz val="9"/>
      <x:color rgb="FF285D3D"/>
      <x:name val="Microsoft YaHei"/>
    </x:font>
    <x:font>
      <x:b/>
      <x:sz val="11"/>
      <x:color rgb="FF173B5E"/>
      <x:name val="Microsoft YaHei"/>
    </x:font>
    <x:font>
      <x:b/>
      <x:sz val="10"/>
      <x:color rgb="FF173B5E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B5E"/>
      </x:patternFill>
    </x:fill>
    <x:fill>
      <x:patternFill patternType="solid">
        <x:fgColor rgb="FFEAF1F7"/>
      </x:patternFill>
    </x:fill>
    <x:fill>
      <x:patternFill patternType="solid">
        <x:fgColor rgb="FFFFF8E8"/>
      </x:patternFill>
    </x:fill>
    <x:fill>
      <x:patternFill patternType="solid">
        <x:fgColor rgb="FF24557D"/>
      </x:patternFill>
    </x:fill>
    <x:fill>
      <x:patternFill patternType="solid">
        <x:fgColor rgb="FFEFF8F2"/>
      </x:patternFill>
    </x:fill>
    <x:fill>
      <x:patternFill patternType="solid">
        <x:fgColor rgb="FFEEF5FB"/>
      </x:patternFill>
    </x:fill>
    <x:fill>
      <x:patternFill patternType="solid">
        <x:fgColor rgb="FFF4F6F8"/>
      </x:patternFill>
    </x:fill>
  </x:fills>
  <x:borders count="6">
    <x:border/>
    <x:border>
      <x:left style="thin">
        <x:color rgb="FFB8CAD9"/>
      </x:left>
      <x:right style="thin">
        <x:color rgb="FFB8CAD9"/>
      </x:right>
      <x:top style="thin">
        <x:color rgb="FFB8CAD9"/>
      </x:top>
      <x:bottom style="thin">
        <x:color rgb="FFB8CAD9"/>
      </x:bottom>
    </x:border>
    <x:border>
      <x:bottom style="thin">
        <x:color rgb="FFD8E1EA"/>
      </x:bottom>
    </x:border>
    <x:border>
      <x:top style="thin">
        <x:color rgb="FFD8E1EA"/>
      </x:top>
      <x:bottom style="thin">
        <x:color rgb="FFD8E1EA"/>
      </x:bottom>
    </x:border>
    <x:border>
      <x:left style="thin">
        <x:color rgb="FFB8CAD9"/>
      </x:left>
      <x:top style="thin">
        <x:color rgb="FFB8CAD9"/>
      </x:top>
      <x:bottom style="thin">
        <x:color rgb="FFB8CAD9"/>
      </x:bottom>
    </x:border>
    <x:border>
      <x:right style="thin">
        <x:color rgb="FFB8CAD9"/>
      </x:right>
      <x:top style="thin">
        <x:color rgb="FFB8CAD9"/>
      </x:top>
      <x:bottom style="thin">
        <x:color rgb="FFB8CA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74570B"/>
      </x:font>
      <x:fill>
        <x:patternFill patternType="solid">
          <x:bgColor rgb="FFFFF8E8"/>
        </x:patternFill>
      </x:fill>
    </x:dxf>
    <x:dxf>
      <x:font>
        <x:b/>
        <x:color rgb="FF285D3D"/>
      </x:font>
      <x:fill>
        <x:patternFill patternType="solid">
          <x:bgColor rgb="FFEFF8F2"/>
        </x:patternFill>
      </x:fill>
    </x:dxf>
    <x:dxf>
      <x:font>
        <x:color rgb="FF74570B"/>
      </x:font>
      <x:fill>
        <x:patternFill patternType="solid">
          <x:bgColor rgb="FFFFF8E8"/>
        </x:patternFill>
      </x:fill>
    </x:dxf>
    <x:dxf>
      <x:fill>
        <x:patternFill patternType="solid">
          <x:bgColor rgb="FFFBEDEC"/>
        </x:patternFill>
      </x:fill>
    </x:dxf>
    <x:dxf>
      <x:font>
        <x:b/>
        <x:color rgb="FF74570B"/>
      </x:font>
      <x:fill>
        <x:patternFill patternType="solid">
          <x:bgColor rgb="FFFFF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62a9da0414f6c" /><Relationship Type="http://schemas.openxmlformats.org/officeDocument/2006/relationships/theme" Target="/xl/theme/theme1.xml" Id="Rcd4e504203c84f05" /><Relationship Type="http://schemas.openxmlformats.org/officeDocument/2006/relationships/sharedStrings" Target="/xl/sharedStrings.xml" Id="R4f97f9a1bd48451e" /><Relationship Type="http://schemas.openxmlformats.org/officeDocument/2006/relationships/worksheet" Target="/xl/worksheets/sheet1.xml" Id="Ra9d08e41a8c045c0" /><Relationship Type="http://schemas.openxmlformats.org/officeDocument/2006/relationships/worksheet" Target="/xl/worksheets/sheet2.xml" Id="R4100571ee349476c" /><Relationship Type="http://schemas.openxmlformats.org/officeDocument/2006/relationships/worksheet" Target="/xl/worksheets/sheet3.xml" Id="R0f7a32d77abe49a0" /><Relationship Type="http://schemas.openxmlformats.org/officeDocument/2006/relationships/worksheet" Target="/xl/worksheets/sheet4.xml" Id="R52e4369964a94b08" /><Relationship Type="http://schemas.openxmlformats.org/officeDocument/2006/relationships/worksheet" Target="/xl/worksheets/sheet5.xml" Id="R1f88d2aeb72a4849" /></Relationships>
</file>

<file path=xl/tables/table1.xml><?xml version="1.0" encoding="utf-8"?>
<x:table xmlns:x="http://schemas.openxmlformats.org/spreadsheetml/2006/main" id="3" name="DomainSummaryTable" displayName="DomainSummaryTable" ref="A8:C14" headerRowCount="1" totalsRowCount="0" totalsRowShown="0">
  <x:tableColumns count="3">
    <x:tableColumn id="1" name="业务域"/>
    <x:tableColumn id="2" name="系统单元数"/>
    <x:tableColumn id="3" name="映射动作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SystemLayerTable" displayName="SystemLayerTable" ref="F8:H12" headerRowCount="1" totalsRowCount="0" totalsRowShown="0">
  <x:tableColumns count="3">
    <x:tableColumn id="1" name="层级"/>
    <x:tableColumn id="2" name="对象"/>
    <x:tableColumn id="3" name="含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LandingTypeSummaryTable" displayName="LandingTypeSummaryTable" ref="A18:B27" headerRowCount="1" totalsRowCount="0" totalsRowShown="0">
  <x:tableColumns count="2">
    <x:tableColumn id="1" name="系统落地形态"/>
    <x:tableColumn id="2" name="动作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ConclusionTable" displayName="ConclusionTable" ref="F18:H22" headerRowCount="1" totalsRowCount="0" totalsRowShown="0">
  <x:tableColumns count="3">
    <x:tableColumn id="1" name="序号"/>
    <x:tableColumn id="2" name="结论"/>
    <x:tableColumn id="3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SystemUnitTable" displayName="SystemUnitTable" ref="A5:K31" headerRowCount="1" totalsRowCount="0" totalsRowShown="0">
  <x:autoFilter ref="A5:K31"/>
  <x:tableColumns count="11">
    <x:tableColumn id="1" name="系统单元编号"/>
    <x:tableColumn id="2" name="业务域"/>
    <x:tableColumn id="3" name="归并后系统单元"/>
    <x:tableColumn id="4" name="定位"/>
    <x:tableColumn id="5" name="触发条件"/>
    <x:tableColumn id="6" name="系统内关键节点/子项"/>
    <x:tableColumn id="7" name="闭环结果"/>
    <x:tableColumn id="8" name="映射动作数"/>
    <x:tableColumn id="9" name="归并边界"/>
    <x:tableColumn id="10" name="建议阶段"/>
    <x:tableColumn id="11" name="待确认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" name="ActionSystemMappingTable" displayName="ActionSystemMappingTable" ref="A5:Q105" headerRowCount="1" totalsRowCount="0" totalsRowShown="0">
  <x:autoFilter ref="A5:Q105"/>
  <x:tableColumns count="17">
    <x:tableColumn id="1" name="原动作编号"/>
    <x:tableColumn id="2" name="来源"/>
    <x:tableColumn id="3" name="生命周期阶段"/>
    <x:tableColumn id="4" name="专业工作包"/>
    <x:tableColumn id="5" name="原规定动作"/>
    <x:tableColumn id="6" name="原规定内容"/>
    <x:tableColumn id="7" name="原成果物"/>
    <x:tableColumn id="8" name="系统单元编号"/>
    <x:tableColumn id="9" name="归并后系统单元"/>
    <x:tableColumn id="10" name="系统节点/子项"/>
    <x:tableColumn id="11" name="系统落地形态"/>
    <x:tableColumn id="12" name="归并方式"/>
    <x:tableColumn id="13" name="证据保留规则"/>
    <x:tableColumn id="14" name="负责方"/>
    <x:tableColumn id="15" name="协作/审核方"/>
    <x:tableColumn id="16" name="评审状态"/>
    <x:tableColumn id="17" name="待确认事项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rgeRuleTable" displayName="MergeRuleTable" ref="A4:F14" headerRowCount="1" totalsRowCount="0" totalsRowShown="0">
  <x:autoFilter ref="A4:F14"/>
  <x:tableColumns count="6">
    <x:tableColumn id="1" name="规则编号"/>
    <x:tableColumn id="2" name="判断维度"/>
    <x:tableColumn id="3" name="判断问题"/>
    <x:tableColumn id="4" name="系统处理"/>
    <x:tableColumn id="5" name="示例"/>
    <x:tableColumn id="6" name="结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ndingDecisionTable" displayName="PendingDecisionTable" ref="A4:I14" headerRowCount="1" totalsRowCount="0" totalsRowShown="0">
  <x:autoFilter ref="A4:I14"/>
  <x:tableColumns count="9">
    <x:tableColumn id="1" name="事项编号"/>
    <x:tableColumn id="2" name="优先级"/>
    <x:tableColumn id="3" name="关联系统单元"/>
    <x:tableColumn id="4" name="主题"/>
    <x:tableColumn id="5" name="待确认事项"/>
    <x:tableColumn id="6" name="建议参与方"/>
    <x:tableColumn id="7" name="对系统的影响"/>
    <x:tableColumn id="8" name="建议节点"/>
    <x:tableColumn id="9" name="当前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ef0151be2147f9" /><Relationship Type="http://schemas.openxmlformats.org/officeDocument/2006/relationships/table" Target="/xl/tables/table2.xml" Id="Ra152b253d42a4953" /><Relationship Type="http://schemas.openxmlformats.org/officeDocument/2006/relationships/table" Target="/xl/tables/table3.xml" Id="R90e8223a06ec4ca3" /><Relationship Type="http://schemas.openxmlformats.org/officeDocument/2006/relationships/table" Target="/xl/tables/table4.xml" Id="Rbc3ab4ae0e2f4b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71f4dfc17b1147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e8a1145a3f0849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8bd50ad78d614d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9ff1b75e393748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3.329999923706055" hidden="0" customWidth="1"/>
    <x:col min="3" max="3" width="14.4399995803833" hidden="0" customWidth="1"/>
    <x:col min="4" max="4" width="2.7799999713897705" hidden="0" customWidth="1"/>
    <x:col min="5" max="5" width="3.3299999237060547" hidden="0" customWidth="1"/>
    <x:col min="6" max="6" width="7.78000020980835" hidden="0" customWidth="1"/>
    <x:col min="7" max="7" width="20" hidden="0" customWidth="1"/>
    <x:col min="8" max="8" width="51.11000061035156" hidden="0" customWidth="1"/>
    <x:col min="9" max="9" width="12.220000267028809" hidden="0" customWidth="1"/>
    <x:col min="10" max="10" width="12.220000267028809" hidden="0" customWidth="1"/>
  </x:cols>
  <x:sheetData>
    <x:row r="1" ht="31.5" customHeight="1">
      <x:c r="A1" s="3" t="str">
        <x:v>规定动作系统归并总览 V0.1</x:v>
      </x:c>
      <x:c r="B1" s="3" t="str">
        <x:v>规定动作系统归并总览 V0.1</x:v>
      </x:c>
      <x:c r="C1" s="3" t="str">
        <x:v>规定动作系统归并总览 V0.1</x:v>
      </x:c>
      <x:c r="D1" s="3" t="str">
        <x:v>规定动作系统归并总览 V0.1</x:v>
      </x:c>
      <x:c r="E1" s="3" t="str">
        <x:v>规定动作系统归并总览 V0.1</x:v>
      </x:c>
      <x:c r="F1" s="3" t="str">
        <x:v>规定动作系统归并总览 V0.1</x:v>
      </x:c>
      <x:c r="G1" s="3" t="str">
        <x:v>规定动作系统归并总览 V0.1</x:v>
      </x:c>
      <x:c r="H1" s="3" t="str">
        <x:v>规定动作系统归并总览 V0.1</x:v>
      </x:c>
      <x:c r="I1" s="3" t="str">
        <x:v>规定动作系统归并总览 V0.1</x:v>
      </x:c>
      <x:c r="J1" s="3" t="str">
        <x:v>规定动作系统归并总览 V0.1</x:v>
      </x:c>
    </x:row>
    <x:row r="2" ht="25.5" customHeight="1">
      <x:c r="A2" s="7" t="str">
        <x:v>100项管理控制点保留，归并为26个系统单元；先评审系统单元和边界，再进入PRD字段、页面和状态机设计。</x:v>
      </x:c>
      <x:c r="B2" s="7" t="str">
        <x:v>100项管理控制点保留，归并为26个系统单元；先评审系统单元和边界，再进入PRD字段、页面和状态机设计。</x:v>
      </x:c>
      <x:c r="C2" s="7" t="str">
        <x:v>100项管理控制点保留，归并为26个系统单元；先评审系统单元和边界，再进入PRD字段、页面和状态机设计。</x:v>
      </x:c>
      <x:c r="D2" s="7" t="str">
        <x:v>100项管理控制点保留，归并为26个系统单元；先评审系统单元和边界，再进入PRD字段、页面和状态机设计。</x:v>
      </x:c>
      <x:c r="E2" s="7" t="str">
        <x:v>100项管理控制点保留，归并为26个系统单元；先评审系统单元和边界，再进入PRD字段、页面和状态机设计。</x:v>
      </x:c>
      <x:c r="F2" s="7" t="str">
        <x:v>100项管理控制点保留，归并为26个系统单元；先评审系统单元和边界，再进入PRD字段、页面和状态机设计。</x:v>
      </x:c>
      <x:c r="G2" s="7" t="str">
        <x:v>100项管理控制点保留，归并为26个系统单元；先评审系统单元和边界，再进入PRD字段、页面和状态机设计。</x:v>
      </x:c>
      <x:c r="H2" s="7" t="str">
        <x:v>100项管理控制点保留，归并为26个系统单元；先评审系统单元和边界，再进入PRD字段、页面和状态机设计。</x:v>
      </x:c>
      <x:c r="I2" s="7" t="str">
        <x:v>100项管理控制点保留，归并为26个系统单元；先评审系统单元和边界，再进入PRD字段、页面和状态机设计。</x:v>
      </x:c>
      <x:c r="J2" s="7" t="str">
        <x:v>100项管理控制点保留，归并为26个系统单元；先评审系统单元和边界，再进入PRD字段、页面和状态机设计。</x:v>
      </x:c>
    </x:row>
    <x:row r="4" ht="27" customHeight="1">
      <x:c r="A4" s="33" t="str">
        <x:f>"管理动作 "&amp;COUNTA('03_100项动作映射'!A6:A105)&amp;" 项"</x:f>
        <x:v>管理动作 100 项</x:v>
      </x:c>
      <x:c r="B4" s="34"/>
      <x:c r="C4" s="33" t="str">
        <x:f>"系统单元 "&amp;COUNTA('02_系统单元清单'!A6:A31)&amp;" 个"</x:f>
        <x:v>系统单元 26 个</x:v>
      </x:c>
      <x:c r="D4" s="34"/>
      <x:c r="E4" s="33" t="str">
        <x:v>业务域 6 个</x:v>
      </x:c>
      <x:c r="F4" s="34"/>
      <x:c r="G4" s="33" t="str">
        <x:f>"待确认动作 "&amp;COUNTIF('03_100项动作映射'!P6:P105,"待确认")&amp;" 项"</x:f>
        <x:v>待确认动作 12 项</x:v>
      </x:c>
      <x:c r="H4" s="34"/>
      <x:c r="I4" s="33" t="str">
        <x:v>证据不因归并而消失</x:v>
      </x:c>
      <x:c r="J4" s="34"/>
    </x:row>
    <x:row r="6" ht="22.5" customHeight="1">
      <x:c r="A6" s="37" t="str">
        <x:v>一、按业务域查看归并结果</x:v>
      </x:c>
      <x:c r="B6" s="37"/>
      <x:c r="C6" s="37"/>
      <x:c r="D6" s="37"/>
      <x:c r="F6" s="37" t="str">
        <x:v>二、系统实现层级</x:v>
      </x:c>
      <x:c r="G6" s="37"/>
      <x:c r="H6" s="37"/>
      <x:c r="I6" s="37"/>
      <x:c r="J6" s="37"/>
    </x:row>
    <x:row r="8" ht="28.5" customHeight="1">
      <x:c r="A8" s="16" t="str">
        <x:v>业务域</x:v>
      </x:c>
      <x:c r="B8" s="16" t="str">
        <x:v>系统单元数</x:v>
      </x:c>
      <x:c r="C8" s="16" t="str">
        <x:v>映射动作数</x:v>
      </x:c>
      <x:c r="F8" s="16" t="str">
        <x:v>层级</x:v>
      </x:c>
      <x:c r="G8" s="16" t="str">
        <x:v>对象</x:v>
      </x:c>
      <x:c r="H8" s="16" t="str">
        <x:v>含义</x:v>
      </x:c>
    </x:row>
    <x:row r="9" ht="31.5" customHeight="1">
      <x:c r="A9" s="22" t="str">
        <x:v>商务与售前</x:v>
      </x:c>
      <x:c r="B9" s="22" t="n">
        <x:f>COUNTIF('02_系统单元清单'!$B$6:$B$31,A9)</x:f>
        <x:v>5</x:v>
      </x:c>
      <x:c r="C9" s="22" t="n">
        <x:f>SUMIF('02_系统单元清单'!$B$6:$B$31,A9,'02_系统单元清单'!$H$6:$H$31)</x:f>
        <x:v>33</x:v>
      </x:c>
      <x:c r="F9" s="22" t="str">
        <x:v>1</x:v>
      </x:c>
      <x:c r="G9" s="22" t="str">
        <x:v>系统业务域</x:v>
      </x:c>
      <x:c r="H9" s="22" t="str">
        <x:v>商务与售前、启动与基线、产研供应、现场实施、验收维护、全阶段治理</x:v>
      </x:c>
    </x:row>
    <x:row r="10" ht="31.5" customHeight="1">
      <x:c r="A10" s="23" t="str">
        <x:v>启动与基线</x:v>
      </x:c>
      <x:c r="B10" s="23" t="n">
        <x:f>COUNTIF('02_系统单元清单'!$B$6:$B$31,A10)</x:f>
        <x:v>5</x:v>
      </x:c>
      <x:c r="C10" s="23" t="n">
        <x:f>SUMIF('02_系统单元清单'!$B$6:$B$31,A10,'02_系统单元清单'!$H$6:$H$31)</x:f>
        <x:v>14</x:v>
      </x:c>
      <x:c r="F10" s="23" t="str">
        <x:v>2</x:v>
      </x:c>
      <x:c r="G10" s="23" t="str">
        <x:v>系统单元</x:v>
      </x:c>
      <x:c r="H10" s="23" t="str">
        <x:v>26个流程、工作包或公共能力，是PRD的功能边界</x:v>
      </x:c>
    </x:row>
    <x:row r="11" ht="31.5" customHeight="1">
      <x:c r="A11" s="23" t="str">
        <x:v>产研与供应</x:v>
      </x:c>
      <x:c r="B11" s="23" t="n">
        <x:f>COUNTIF('02_系统单元清单'!$B$6:$B$31,A11)</x:f>
        <x:v>5</x:v>
      </x:c>
      <x:c r="C11" s="23" t="n">
        <x:f>SUMIF('02_系统单元清单'!$B$6:$B$31,A11,'02_系统单元清单'!$H$6:$H$31)</x:f>
        <x:v>13</x:v>
      </x:c>
      <x:c r="F11" s="23" t="str">
        <x:v>3</x:v>
      </x:c>
      <x:c r="G11" s="23" t="str">
        <x:v>节点/资料/检查项</x:v>
      </x:c>
      <x:c r="H11" s="23" t="str">
        <x:v>100项动作落入单元内部，不再各自建设独立入口</x:v>
      </x:c>
    </x:row>
    <x:row r="12" ht="31.5" customHeight="1">
      <x:c r="A12" s="23" t="str">
        <x:v>现场实施</x:v>
      </x:c>
      <x:c r="B12" s="23" t="n">
        <x:f>COUNTIF('02_系统单元清单'!$B$6:$B$31,A12)</x:f>
        <x:v>3</x:v>
      </x:c>
      <x:c r="C12" s="23" t="n">
        <x:f>SUMIF('02_系统单元清单'!$B$6:$B$31,A12,'02_系统单元清单'!$H$6:$H$31)</x:f>
        <x:v>17</x:v>
      </x:c>
      <x:c r="F12" s="23" t="str">
        <x:v>4</x:v>
      </x:c>
      <x:c r="G12" s="23" t="str">
        <x:v>成果与审批证据</x:v>
      </x:c>
      <x:c r="H12" s="23" t="str">
        <x:v>独立版本、签署、审批和关闭证据继续保留</x:v>
      </x:c>
    </x:row>
    <x:row r="13" ht="31.5" customHeight="1">
      <x:c r="A13" s="23" t="str">
        <x:v>验收与维护</x:v>
      </x:c>
      <x:c r="B13" s="23" t="n">
        <x:f>COUNTIF('02_系统单元清单'!$B$6:$B$31,A13)</x:f>
        <x:v>3</x:v>
      </x:c>
      <x:c r="C13" s="23" t="n">
        <x:f>SUMIF('02_系统单元清单'!$B$6:$B$31,A13,'02_系统单元清单'!$H$6:$H$31)</x:f>
        <x:v>10</x:v>
      </x:c>
    </x:row>
    <x:row r="14" ht="31.5" customHeight="1">
      <x:c r="A14" s="23" t="str">
        <x:v>全阶段治理</x:v>
      </x:c>
      <x:c r="B14" s="23" t="n">
        <x:f>COUNTIF('02_系统单元清单'!$B$6:$B$31,A14)</x:f>
        <x:v>5</x:v>
      </x:c>
      <x:c r="C14" s="23" t="n">
        <x:f>SUMIF('02_系统单元清单'!$B$6:$B$31,A14,'02_系统单元清单'!$H$6:$H$31)</x:f>
        <x:v>13</x:v>
      </x:c>
    </x:row>
    <x:row r="16" ht="22.5" customHeight="1">
      <x:c r="A16" s="37" t="str">
        <x:v>三、系统落地形态分布</x:v>
      </x:c>
      <x:c r="B16" s="37"/>
      <x:c r="C16" s="37"/>
      <x:c r="D16" s="37"/>
      <x:c r="F16" s="37" t="str">
        <x:v>四、本版结论</x:v>
      </x:c>
      <x:c r="G16" s="37"/>
      <x:c r="H16" s="37"/>
      <x:c r="I16" s="37"/>
      <x:c r="J16" s="37"/>
    </x:row>
    <x:row r="18" ht="28.5" customHeight="1">
      <x:c r="A18" s="16" t="str">
        <x:v>系统落地形态</x:v>
      </x:c>
      <x:c r="B18" s="16" t="str">
        <x:v>动作数</x:v>
      </x:c>
      <x:c r="F18" s="16" t="str">
        <x:v>序号</x:v>
      </x:c>
      <x:c r="G18" s="16" t="str">
        <x:v>结论</x:v>
      </x:c>
      <x:c r="H18" s="16" t="str">
        <x:v>说明</x:v>
      </x:c>
    </x:row>
    <x:row r="19" ht="31.5" customHeight="1">
      <x:c r="A19" s="22" t="str">
        <x:v>主档/配置</x:v>
      </x:c>
      <x:c r="B19" s="22" t="n">
        <x:f>COUNTIF('03_100项动作映射'!$K$6:$K$105,A19)</x:f>
        <x:v>6</x:v>
      </x:c>
      <x:c r="F19" s="22" t="str">
        <x:v>1</x:v>
      </x:c>
      <x:c r="G19" s="22" t="str">
        <x:v>100项不等于100条流程</x:v>
      </x:c>
      <x:c r="H19" s="22" t="str">
        <x:v>管理控制点全部保留，但系统入口按业务事件归并。</x:v>
      </x:c>
    </x:row>
    <x:row r="20" ht="31.5" customHeight="1">
      <x:c r="A20" s="23" t="str">
        <x:v>流程控制节点</x:v>
      </x:c>
      <x:c r="B20" s="23" t="n">
        <x:f>COUNTIF('03_100项动作映射'!$K$6:$K$105,A20)</x:f>
        <x:v>25</x:v>
      </x:c>
      <x:c r="F20" s="23" t="str">
        <x:v>2</x:v>
      </x:c>
      <x:c r="G20" s="23" t="str">
        <x:v>流程合并，证据分开</x:v>
      </x:c>
      <x:c r="H20" s="23" t="str">
        <x:v>审批、验收、付款、安全和成果版本仍分别审计。</x:v>
      </x:c>
    </x:row>
    <x:row r="21" ht="31.5" customHeight="1">
      <x:c r="A21" s="23" t="str">
        <x:v>资料包子项</x:v>
      </x:c>
      <x:c r="B21" s="23" t="n">
        <x:f>COUNTIF('03_100项动作映射'!$K$6:$K$105,A21)</x:f>
        <x:v>26</x:v>
      </x:c>
      <x:c r="F21" s="23" t="str">
        <x:v>3</x:v>
      </x:c>
      <x:c r="G21" s="23" t="str">
        <x:v>四类事项共用引擎</x:v>
      </x:c>
      <x:c r="H21" s="23" t="str">
        <x:v>问题、风险、变更、安全共用状态机，权限和关闭规则分开。</x:v>
      </x:c>
    </x:row>
    <x:row r="22" ht="31.5" customHeight="1">
      <x:c r="A22" s="23" t="str">
        <x:v>工作包任务</x:v>
      </x:c>
      <x:c r="B22" s="23" t="n">
        <x:f>COUNTIF('03_100项动作映射'!$K$6:$K$105,A22)</x:f>
        <x:v>8</x:v>
      </x:c>
      <x:c r="F22" s="23" t="str">
        <x:v>4</x:v>
      </x:c>
      <x:c r="G22" s="23" t="str">
        <x:v>本表是PRD输入</x:v>
      </x:c>
      <x:c r="H22" s="23" t="str">
        <x:v>确认归并边界后再设计页面、字段、状态和权限。</x:v>
      </x:c>
    </x:row>
    <x:row r="23">
      <x:c r="A23" s="23" t="str">
        <x:v>检查/执行任务</x:v>
      </x:c>
      <x:c r="B23" s="23" t="n">
        <x:f>COUNTIF('03_100项动作映射'!$K$6:$K$105,A23)</x:f>
        <x:v>19</x:v>
      </x:c>
    </x:row>
    <x:row r="24">
      <x:c r="A24" s="23" t="str">
        <x:v>事项台账/子流程</x:v>
      </x:c>
      <x:c r="B24" s="23" t="n">
        <x:f>COUNTIF('03_100项动作映射'!$K$6:$K$105,A24)</x:f>
        <x:v>5</x:v>
      </x:c>
    </x:row>
    <x:row r="25">
      <x:c r="A25" s="23" t="str">
        <x:v>报表/预测</x:v>
      </x:c>
      <x:c r="B25" s="23" t="n">
        <x:f>COUNTIF('03_100项动作映射'!$K$6:$K$105,A25)</x:f>
        <x:v>5</x:v>
      </x:c>
    </x:row>
    <x:row r="26">
      <x:c r="A26" s="23" t="str">
        <x:v>自动规则/快照</x:v>
      </x:c>
      <x:c r="B26" s="23" t="n">
        <x:f>COUNTIF('03_100项动作映射'!$K$6:$K$105,A26)</x:f>
        <x:v>5</x:v>
      </x:c>
    </x:row>
    <x:row r="27">
      <x:c r="A27" s="23" t="str">
        <x:v>文件版本能力</x:v>
      </x:c>
      <x:c r="B27" s="23" t="n">
        <x:f>COUNTIF('03_100项动作映射'!$K$6:$K$105,A27)</x:f>
        <x:v>1</x:v>
      </x:c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6:D6"/>
    <x:mergeCell ref="F6:J6"/>
  </x:mergeCells>
  <x:pageMargins left="0.7" right="0.7" top="0.75" bottom="0.75" header="0.3" footer="0.3"/>
  <x:tableParts count="4">
    <x:tablePart xmlns:r="http://schemas.openxmlformats.org/officeDocument/2006/relationships" r:id="R85ef0151be2147f9"/>
    <x:tablePart xmlns:r="http://schemas.openxmlformats.org/officeDocument/2006/relationships" r:id="Ra152b253d42a4953"/>
    <x:tablePart xmlns:r="http://schemas.openxmlformats.org/officeDocument/2006/relationships" r:id="R90e8223a06ec4ca3"/>
    <x:tablePart xmlns:r="http://schemas.openxmlformats.org/officeDocument/2006/relationships" r:id="Rbc3ab4ae0e2f4b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2.779999732971191" hidden="0" customWidth="1"/>
    <x:col min="3" max="3" width="22.780000686645508" hidden="0" customWidth="1"/>
    <x:col min="4" max="4" width="12.779999732971191" hidden="0" customWidth="1"/>
    <x:col min="5" max="5" width="25" hidden="0" customWidth="1"/>
    <x:col min="6" max="6" width="40" hidden="0" customWidth="1"/>
    <x:col min="7" max="7" width="27.780000686645508" hidden="0" customWidth="1"/>
    <x:col min="8" max="8" width="10.5600004196167" hidden="0" customWidth="1"/>
    <x:col min="9" max="9" width="36.66999816894531" hidden="0" customWidth="1"/>
    <x:col min="10" max="10" width="11.670000076293945" hidden="0" customWidth="1"/>
    <x:col min="11" max="11" width="33.33000183105469" hidden="0" customWidth="1"/>
  </x:cols>
  <x:sheetData>
    <x:row r="1" ht="31.5" customHeight="1">
      <x:c r="A1" s="3" t="str">
        <x:v>归并后的系统单元清单 V0.1｜100项动作归入26个系统单元</x:v>
      </x:c>
      <x:c r="B1" s="3" t="str">
        <x:v>归并后的系统单元清单 V0.1｜100项动作归入26个系统单元</x:v>
      </x:c>
      <x:c r="C1" s="3" t="str">
        <x:v>归并后的系统单元清单 V0.1｜100项动作归入26个系统单元</x:v>
      </x:c>
      <x:c r="D1" s="3" t="str">
        <x:v>归并后的系统单元清单 V0.1｜100项动作归入26个系统单元</x:v>
      </x:c>
      <x:c r="E1" s="3" t="str">
        <x:v>归并后的系统单元清单 V0.1｜100项动作归入26个系统单元</x:v>
      </x:c>
      <x:c r="F1" s="3" t="str">
        <x:v>归并后的系统单元清单 V0.1｜100项动作归入26个系统单元</x:v>
      </x:c>
      <x:c r="G1" s="3" t="str">
        <x:v>归并后的系统单元清单 V0.1｜100项动作归入26个系统单元</x:v>
      </x:c>
      <x:c r="H1" s="3" t="str">
        <x:v>归并后的系统单元清单 V0.1｜100项动作归入26个系统单元</x:v>
      </x:c>
      <x:c r="I1" s="3" t="str">
        <x:v>归并后的系统单元清单 V0.1｜100项动作归入26个系统单元</x:v>
      </x:c>
      <x:c r="J1" s="3" t="str">
        <x:v>归并后的系统单元清单 V0.1｜100项动作归入26个系统单元</x:v>
      </x:c>
      <x:c r="K1" s="3" t="str">
        <x:v>归并后的系统单元清单 V0.1｜100项动作归入26个系统单元</x:v>
      </x:c>
    </x:row>
    <x:row r="2" ht="25.5" customHeight="1">
      <x:c r="A2" s="7" t="str">
        <x:v>系统单元不等于独立模块开发：它可能是一条业务流程、一个工作包模板或一项公共能力。原动作数由100项映射表自动统计。</x:v>
      </x:c>
      <x:c r="B2" s="7" t="str">
        <x:v>系统单元不等于独立模块开发：它可能是一条业务流程、一个工作包模板或一项公共能力。原动作数由100项映射表自动统计。</x:v>
      </x:c>
      <x:c r="C2" s="7" t="str">
        <x:v>系统单元不等于独立模块开发：它可能是一条业务流程、一个工作包模板或一项公共能力。原动作数由100项映射表自动统计。</x:v>
      </x:c>
      <x:c r="D2" s="7" t="str">
        <x:v>系统单元不等于独立模块开发：它可能是一条业务流程、一个工作包模板或一项公共能力。原动作数由100项映射表自动统计。</x:v>
      </x:c>
      <x:c r="E2" s="7" t="str">
        <x:v>系统单元不等于独立模块开发：它可能是一条业务流程、一个工作包模板或一项公共能力。原动作数由100项映射表自动统计。</x:v>
      </x:c>
      <x:c r="F2" s="7" t="str">
        <x:v>系统单元不等于独立模块开发：它可能是一条业务流程、一个工作包模板或一项公共能力。原动作数由100项映射表自动统计。</x:v>
      </x:c>
      <x:c r="G2" s="7" t="str">
        <x:v>系统单元不等于独立模块开发：它可能是一条业务流程、一个工作包模板或一项公共能力。原动作数由100项映射表自动统计。</x:v>
      </x:c>
      <x:c r="H2" s="7" t="str">
        <x:v>系统单元不等于独立模块开发：它可能是一条业务流程、一个工作包模板或一项公共能力。原动作数由100项映射表自动统计。</x:v>
      </x:c>
      <x:c r="I2" s="7" t="str">
        <x:v>系统单元不等于独立模块开发：它可能是一条业务流程、一个工作包模板或一项公共能力。原动作数由100项映射表自动统计。</x:v>
      </x:c>
      <x:c r="J2" s="7" t="str">
        <x:v>系统单元不等于独立模块开发：它可能是一条业务流程、一个工作包模板或一项公共能力。原动作数由100项映射表自动统计。</x:v>
      </x:c>
      <x:c r="K2" s="7" t="str">
        <x:v>系统单元不等于独立模块开发：它可能是一条业务流程、一个工作包模板或一项公共能力。原动作数由100项映射表自动统计。</x:v>
      </x:c>
    </x:row>
    <x:row r="3" ht="22.5" customHeight="1">
      <x:c r="A3" s="26" t="str">
        <x:v>核心原则：同一业务事件共用入口；审批、阶段门、付款、安全和成果结论仍作为独立控制节点。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</x:row>
    <x:row r="5" ht="28.5" customHeight="1">
      <x:c r="A5" s="16" t="str">
        <x:v>系统单元编号</x:v>
      </x:c>
      <x:c r="B5" s="16" t="str">
        <x:v>业务域</x:v>
      </x:c>
      <x:c r="C5" s="16" t="str">
        <x:v>归并后系统单元</x:v>
      </x:c>
      <x:c r="D5" s="16" t="str">
        <x:v>定位</x:v>
      </x:c>
      <x:c r="E5" s="16" t="str">
        <x:v>触发条件</x:v>
      </x:c>
      <x:c r="F5" s="16" t="str">
        <x:v>系统内关键节点/子项</x:v>
      </x:c>
      <x:c r="G5" s="16" t="str">
        <x:v>闭环结果</x:v>
      </x:c>
      <x:c r="H5" s="16" t="str">
        <x:v>映射动作数</x:v>
      </x:c>
      <x:c r="I5" s="16" t="str">
        <x:v>归并边界</x:v>
      </x:c>
      <x:c r="J5" s="16" t="str">
        <x:v>建议阶段</x:v>
      </x:c>
      <x:c r="K5" s="16" t="str">
        <x:v>待确认</x:v>
      </x:c>
    </x:row>
    <x:row r="6" ht="31.5" customHeight="1">
      <x:c r="A6" s="22" t="str">
        <x:v>SU-01</x:v>
      </x:c>
      <x:c r="B6" s="22" t="str">
        <x:v>商务与售前</x:v>
      </x:c>
      <x:c r="C6" s="22" t="str">
        <x:v>商机主档与阶段管理</x:v>
      </x:c>
      <x:c r="D6" s="22" t="str">
        <x:v>主档+轻流程</x:v>
      </x:c>
      <x:c r="E6" s="22" t="str">
        <x:v>出现客户或项目线索</x:v>
      </x:c>
      <x:c r="F6" s="22" t="str">
        <x:v>建档→A-D分级→事实更新→关闭/输赢复盘</x:v>
      </x:c>
      <x:c r="G6" s="22" t="str">
        <x:v>唯一商机主档、阶段日志和关闭结论</x:v>
      </x:c>
      <x:c r="H6" s="22" t="n">
        <x:f>COUNTIF('03_100项动作映射'!$H$6:$H$105,A6)</x:f>
        <x:v>4</x:v>
      </x:c>
      <x:c r="I6" s="22" t="str">
        <x:v>PMO商机记录不再单独建表，作为同一商机对象的记录与变更日志</x:v>
      </x:c>
      <x:c r="J6" s="22" t="str">
        <x:v>MVP核心</x:v>
      </x:c>
      <x:c r="K6" s="22" t="str"/>
    </x:row>
    <x:row r="7" ht="31.5" customHeight="1">
      <x:c r="A7" s="23" t="str">
        <x:v>SU-02</x:v>
      </x:c>
      <x:c r="B7" s="23" t="str">
        <x:v>商务与售前</x:v>
      </x:c>
      <x:c r="C7" s="23" t="str">
        <x:v>销售立项与售前投入审批</x:v>
      </x:c>
      <x:c r="D7" s="23" t="str">
        <x:v>业务流程</x:v>
      </x:c>
      <x:c r="E7" s="23" t="str">
        <x:v>商机达到立项阈值或需要跨部门投入</x:v>
      </x:c>
      <x:c r="F7" s="23" t="str">
        <x:v>销售立项→资源申请→分级审批→资料归集</x:v>
      </x:c>
      <x:c r="G7" s="23" t="str">
        <x:v>立项结论、投入授权和售前资料记录</x:v>
      </x:c>
      <x:c r="H7" s="23" t="n">
        <x:f>COUNTIF('03_100项动作映射'!$H$6:$H$105,A7)</x:f>
        <x:v>4</x:v>
      </x:c>
      <x:c r="I7" s="23" t="str">
        <x:v>审批记录独立保留；立项文件和预算附件归入同一立项实例</x:v>
      </x:c>
      <x:c r="J7" s="23" t="str">
        <x:v>MVP核心</x:v>
      </x:c>
      <x:c r="K7" s="23" t="str">
        <x:v>销售立项阈值、审批链和售前投入分级规则</x:v>
      </x:c>
    </x:row>
    <x:row r="8" ht="31.5" customHeight="1">
      <x:c r="A8" s="23" t="str">
        <x:v>SU-03</x:v>
      </x:c>
      <x:c r="B8" s="23" t="str">
        <x:v>商务与售前</x:v>
      </x:c>
      <x:c r="C8" s="23" t="str">
        <x:v>售前成本评估与投标协同</x:v>
      </x:c>
      <x:c r="D8" s="23" t="str">
        <x:v>协同流程</x:v>
      </x:c>
      <x:c r="E8" s="23" t="str">
        <x:v>非标项目、投标项目或需正式报价</x:v>
      </x:c>
      <x:c r="F8" s="23" t="str">
        <x:v>商务输入→资料交底→技术交底→工作量/计划/采购/成本汇总</x:v>
      </x:c>
      <x:c r="G8" s="23" t="str">
        <x:v>可报价的技术方案、工程量、项目计划和成本基线</x:v>
      </x:c>
      <x:c r="H8" s="23" t="n">
        <x:f>COUNTIF('03_100项动作映射'!$H$6:$H$105,A8)</x:f>
        <x:v>10</x:v>
      </x:c>
      <x:c r="I8" s="23" t="str">
        <x:v>十项动作合并为一次评估实例；资料作为子项，部门输出仍独立留版本</x:v>
      </x:c>
      <x:c r="J8" s="23" t="str">
        <x:v>MVP核心</x:v>
      </x:c>
      <x:c r="K8" s="23" t="str">
        <x:v>投标前PMO参与时点、职责和成本输出模板</x:v>
      </x:c>
    </x:row>
    <x:row r="9" ht="31.5" customHeight="1">
      <x:c r="A9" s="23" t="str">
        <x:v>SU-04</x:v>
      </x:c>
      <x:c r="B9" s="23" t="str">
        <x:v>商务与售前</x:v>
      </x:c>
      <x:c r="C9" s="23" t="str">
        <x:v>商务移交与交付准入</x:v>
      </x:c>
      <x:c r="D9" s="23" t="str">
        <x:v>阶段门流程</x:v>
      </x:c>
      <x:c r="E9" s="23" t="str">
        <x:v>主合同、中标通知或委托依据满足正常移交条件</x:v>
      </x:c>
      <x:c r="F9" s="23" t="str">
        <x:v>提交五类资料→完整性校验→跨部门联合评审→准入/退回</x:v>
      </x:c>
      <x:c r="G9" s="23" t="str">
        <x:v>商务移交资料包和交付准入结论</x:v>
      </x:c>
      <x:c r="H9" s="23" t="n">
        <x:f>COUNTIF('03_100项动作映射'!$H$6:$H$105,A9)</x:f>
        <x:v>3</x:v>
      </x:c>
      <x:c r="I9" s="23" t="str">
        <x:v>资料包可以合并，完整性校验和准入结论必须是独立控制节点</x:v>
      </x:c>
      <x:c r="J9" s="23" t="str">
        <x:v>MVP核心</x:v>
      </x:c>
      <x:c r="K9" s="23" t="str"/>
    </x:row>
    <x:row r="10" ht="31.5" customHeight="1">
      <x:c r="A10" s="23" t="str">
        <x:v>SU-05</x:v>
      </x:c>
      <x:c r="B10" s="23" t="str">
        <x:v>商务与售前</x:v>
      </x:c>
      <x:c r="C10" s="23" t="str">
        <x:v>提前开工例外管理</x:v>
      </x:c>
      <x:c r="D10" s="23" t="str">
        <x:v>例外流程</x:v>
      </x:c>
      <x:c r="E10" s="23" t="str">
        <x:v>合同或资料未齐但业务要求提前投入</x:v>
      </x:c>
      <x:c r="F10" s="23" t="str">
        <x:v>例外申请→风险会签→限范围/限预算/限期限开工→补齐→转正/到期处置</x:v>
      </x:c>
      <x:c r="G10" s="23" t="str">
        <x:v>提前开工批准、缺项台账和转正/停止记录</x:v>
      </x:c>
      <x:c r="H10" s="23" t="n">
        <x:f>COUNTIF('03_100项动作映射'!$H$6:$H$105,A10)</x:f>
        <x:v>12</x:v>
      </x:c>
      <x:c r="I10" s="23" t="str">
        <x:v>资料可复用正常移交清单；例外批准、期限与转正节点不可与正常准入合并</x:v>
      </x:c>
      <x:c r="J10" s="23" t="str">
        <x:v>MVP核心</x:v>
      </x:c>
      <x:c r="K10" s="23" t="str">
        <x:v>公司级授权人、预算上限、有效期和停止条件</x:v>
      </x:c>
    </x:row>
    <x:row r="11" ht="31.5" customHeight="1">
      <x:c r="A11" s="23" t="str">
        <x:v>SU-06</x:v>
      </x:c>
      <x:c r="B11" s="23" t="str">
        <x:v>启动与基线</x:v>
      </x:c>
      <x:c r="C11" s="23" t="str">
        <x:v>项目结构与工作包配置</x:v>
      </x:c>
      <x:c r="D11" s="23" t="str">
        <x:v>配置流程</x:v>
      </x:c>
      <x:c r="E11" s="23" t="str">
        <x:v>交付准入通过</x:v>
      </x:c>
      <x:c r="F11" s="23" t="str">
        <x:v>建立主合同项目→配置现场/设备→启用专业工作包</x:v>
      </x:c>
      <x:c r="G11" s="23" t="str">
        <x:v>项目结构和工作包清单</x:v>
      </x:c>
      <x:c r="H11" s="23" t="n">
        <x:f>COUNTIF('03_100项动作映射'!$H$6:$H$105,A11)</x:f>
        <x:v>1</x:v>
      </x:c>
      <x:c r="I11" s="23" t="str">
        <x:v>设备和现场作为交付对象配置，不再引入批次概念</x:v>
      </x:c>
      <x:c r="J11" s="23" t="str">
        <x:v>MVP核心</x:v>
      </x:c>
      <x:c r="K11" s="23" t="str">
        <x:v>多现场、多设备时交付对象的启用规则</x:v>
      </x:c>
    </x:row>
    <x:row r="12" ht="31.5" customHeight="1">
      <x:c r="A12" s="23" t="str">
        <x:v>SU-07</x:v>
      </x:c>
      <x:c r="B12" s="23" t="str">
        <x:v>启动与基线</x:v>
      </x:c>
      <x:c r="C12" s="23" t="str">
        <x:v>资源需求、承诺与冲突裁决</x:v>
      </x:c>
      <x:c r="D12" s="23" t="str">
        <x:v>协同流程</x:v>
      </x:c>
      <x:c r="E12" s="23" t="str">
        <x:v>项目和工作包已建立</x:v>
      </x:c>
      <x:c r="F12" s="23" t="str">
        <x:v>资源需求→部门承诺→冲突识别→升级裁决</x:v>
      </x:c>
      <x:c r="G12" s="23" t="str">
        <x:v>可执行的资源承诺和冲突结论</x:v>
      </x:c>
      <x:c r="H12" s="23" t="n">
        <x:f>COUNTIF('03_100项动作映射'!$H$6:$H$105,A12)</x:f>
        <x:v>3</x:v>
      </x:c>
      <x:c r="I12" s="23" t="str">
        <x:v>使用同一资源池；部门承诺与公司裁决分别留证</x:v>
      </x:c>
      <x:c r="J12" s="23" t="str">
        <x:v>MVP核心</x:v>
      </x:c>
      <x:c r="K12" s="23" t="str"/>
    </x:row>
    <x:row r="13" ht="31.5" customHeight="1">
      <x:c r="A13" s="23" t="str">
        <x:v>SU-08</x:v>
      </x:c>
      <x:c r="B13" s="23" t="str">
        <x:v>启动与基线</x:v>
      </x:c>
      <x:c r="C13" s="23" t="str">
        <x:v>项目启动与团队组建</x:v>
      </x:c>
      <x:c r="D13" s="23" t="str">
        <x:v>业务流程</x:v>
      </x:c>
      <x:c r="E13" s="23" t="str">
        <x:v>项目结构、负责人和初始资源具备</x:v>
      </x:c>
      <x:c r="F13" s="23" t="str">
        <x:v>组建团队/建项目空间→职责确认→启动会→待办下发</x:v>
      </x:c>
      <x:c r="G13" s="23" t="str">
        <x:v>项目成员清单、职责和启动会纪要</x:v>
      </x:c>
      <x:c r="H13" s="23" t="n">
        <x:f>COUNTIF('03_100项动作映射'!$H$6:$H$105,A13)</x:f>
        <x:v>2</x:v>
      </x:c>
      <x:c r="I13" s="23" t="str">
        <x:v>项目空间与团队清单合并管理；启动会纪要独立留存</x:v>
      </x:c>
      <x:c r="J13" s="23" t="str">
        <x:v>MVP核心</x:v>
      </x:c>
      <x:c r="K13" s="23" t="str"/>
    </x:row>
    <x:row r="14" ht="31.5" customHeight="1">
      <x:c r="A14" s="23" t="str">
        <x:v>SU-09</x:v>
      </x:c>
      <x:c r="B14" s="23" t="str">
        <x:v>启动与基线</x:v>
      </x:c>
      <x:c r="C14" s="23" t="str">
        <x:v>项目计划基线与变更</x:v>
      </x:c>
      <x:c r="D14" s="23" t="str">
        <x:v>计划流程</x:v>
      </x:c>
      <x:c r="E14" s="23" t="str">
        <x:v>团队和工作包已配置，或计划事实变化</x:v>
      </x:c>
      <x:c r="F14" s="23" t="str">
        <x:v>编制主计划/工作包计划→评审→批准基线→变更影响评估→新基线</x:v>
      </x:c>
      <x:c r="G14" s="23" t="str">
        <x:v>受控的项目计划基线和变更记录</x:v>
      </x:c>
      <x:c r="H14" s="23" t="n">
        <x:f>COUNTIF('03_100项动作映射'!$H$6:$H$105,A14)</x:f>
        <x:v>4</x:v>
      </x:c>
      <x:c r="I14" s="23" t="str">
        <x:v>主计划与专业计划共用版本体系；计划批准和变更批准不可省略</x:v>
      </x:c>
      <x:c r="J14" s="23" t="str">
        <x:v>MVP核心</x:v>
      </x:c>
      <x:c r="K14" s="23" t="str"/>
    </x:row>
    <x:row r="15" ht="31.5" customHeight="1">
      <x:c r="A15" s="23" t="str">
        <x:v>SU-10</x:v>
      </x:c>
      <x:c r="B15" s="23" t="str">
        <x:v>启动与基线</x:v>
      </x:c>
      <x:c r="C15" s="23" t="str">
        <x:v>实施预算基线与审批</x:v>
      </x:c>
      <x:c r="D15" s="23" t="str">
        <x:v>预算流程</x:v>
      </x:c>
      <x:c r="E15" s="23" t="str">
        <x:v>项目计划和资源假设达到预算条件</x:v>
      </x:c>
      <x:c r="F15" s="23" t="str">
        <x:v>预算编制→预算评审会→预算审批→特殊项目延迟基线处置</x:v>
      </x:c>
      <x:c r="G15" s="23" t="str">
        <x:v>实施预算基线和批准记录</x:v>
      </x:c>
      <x:c r="H15" s="23" t="n">
        <x:f>COUNTIF('03_100项动作映射'!$H$6:$H$105,A15)</x:f>
        <x:v>4</x:v>
      </x:c>
      <x:c r="I15" s="23" t="str">
        <x:v>预算表可统一；评审、审批和特殊项目延期必须分别记录</x:v>
      </x:c>
      <x:c r="J15" s="23" t="str">
        <x:v>MVP核心</x:v>
      </x:c>
      <x:c r="K15" s="23" t="str">
        <x:v>预算表单、编制责任、审批链及首台套/海外项目延期规则</x:v>
      </x:c>
    </x:row>
    <x:row r="16" ht="31.5" customHeight="1">
      <x:c r="A16" s="23" t="str">
        <x:v>SU-11</x:v>
      </x:c>
      <x:c r="B16" s="23" t="str">
        <x:v>产研与供应</x:v>
      </x:c>
      <x:c r="C16" s="23" t="str">
        <x:v>调研与需求基线</x:v>
      </x:c>
      <x:c r="D16" s="23" t="str">
        <x:v>工作包流程</x:v>
      </x:c>
      <x:c r="E16" s="23" t="str">
        <x:v>项目基线通过并需要现场/技术调研</x:v>
      </x:c>
      <x:c r="F16" s="23" t="str">
        <x:v>调研准备→现场调研→资料整理→需求/接口确认</x:v>
      </x:c>
      <x:c r="G16" s="23" t="str">
        <x:v>调研报告、资料包和需求基线</x:v>
      </x:c>
      <x:c r="H16" s="23" t="n">
        <x:f>COUNTIF('03_100项动作映射'!$H$6:$H$105,A16)</x:f>
        <x:v>2</x:v>
      </x:c>
      <x:c r="I16" s="23" t="str">
        <x:v>调研计划和调研成果属于同一实例，但成果文件独立留版本</x:v>
      </x:c>
      <x:c r="J16" s="23" t="str">
        <x:v>MVP核心</x:v>
      </x:c>
      <x:c r="K16" s="23" t="str"/>
    </x:row>
    <x:row r="17" ht="31.5" customHeight="1">
      <x:c r="A17" s="23" t="str">
        <x:v>SU-12</x:v>
      </x:c>
      <x:c r="B17" s="23" t="str">
        <x:v>产研与供应</x:v>
      </x:c>
      <x:c r="C17" s="23" t="str">
        <x:v>专业设计与设计评审</x:v>
      </x:c>
      <x:c r="D17" s="23" t="str">
        <x:v>工作包流程</x:v>
      </x:c>
      <x:c r="E17" s="23" t="str">
        <x:v>需求基线通过</x:v>
      </x:c>
      <x:c r="F17" s="23" t="str">
        <x:v>启用机械/电气/软件设计→验收标准设计→内部评审→必要外部评审→冻结/返工</x:v>
      </x:c>
      <x:c r="G17" s="23" t="str">
        <x:v>受控设计版本、评审结论和冻结基线</x:v>
      </x:c>
      <x:c r="H17" s="23" t="n">
        <x:f>COUNTIF('03_100项动作映射'!$H$6:$H$105,A17)</x:f>
        <x:v>5</x:v>
      </x:c>
      <x:c r="I17" s="23" t="str">
        <x:v>共用设计工作包框架，专业成果与评审结论不能合并为一份文件</x:v>
      </x:c>
      <x:c r="J17" s="23" t="str">
        <x:v>MVP核心</x:v>
      </x:c>
      <x:c r="K17" s="23" t="str">
        <x:v>图纸设计的专业归属、评审委员会角色和设计返工规则</x:v>
      </x:c>
    </x:row>
    <x:row r="18" ht="31.5" customHeight="1">
      <x:c r="A18" s="23" t="str">
        <x:v>SU-13</x:v>
      </x:c>
      <x:c r="B18" s="23" t="str">
        <x:v>产研与供应</x:v>
      </x:c>
      <x:c r="C18" s="23" t="str">
        <x:v>采购申请与执行</x:v>
      </x:c>
      <x:c r="D18" s="23" t="str">
        <x:v>业务流程</x:v>
      </x:c>
      <x:c r="E18" s="23" t="str">
        <x:v>设计基线或受控采购输入可用</x:v>
      </x:c>
      <x:c r="F18" s="23" t="str">
        <x:v>采购清单/申请→预算校验→审批→采购执行→到货跟踪</x:v>
      </x:c>
      <x:c r="G18" s="23" t="str">
        <x:v>采购申请、订单/执行记录和交付状态</x:v>
      </x:c>
      <x:c r="H18" s="23" t="n">
        <x:f>COUNTIF('03_100项动作映射'!$H$6:$H$105,A18)</x:f>
        <x:v>2</x:v>
      </x:c>
      <x:c r="I18" s="23" t="str">
        <x:v>投标前采购估算与交付采购共用物料数据，但实际采购必须独立审批</x:v>
      </x:c>
      <x:c r="J18" s="23" t="str">
        <x:v>MVP核心</x:v>
      </x:c>
      <x:c r="K18" s="23" t="str"/>
    </x:row>
    <x:row r="19" ht="31.5" customHeight="1">
      <x:c r="A19" s="23" t="str">
        <x:v>SU-14</x:v>
      </x:c>
      <x:c r="B19" s="23" t="str">
        <x:v>产研与供应</x:v>
      </x:c>
      <x:c r="C19" s="23" t="str">
        <x:v>开发、软件测试与FAT</x:v>
      </x:c>
      <x:c r="D19" s="23" t="str">
        <x:v>工作包流程</x:v>
      </x:c>
      <x:c r="E19" s="23" t="str">
        <x:v>设计冻结或受控放行</x:v>
      </x:c>
      <x:c r="F19" s="23" t="str">
        <x:v>开发任务→程序/文档版本→软件测试→缺陷关闭→FAT→出厂版本</x:v>
      </x:c>
      <x:c r="G19" s="23" t="str">
        <x:v>可交付程序版本、测试报告和FAT结论</x:v>
      </x:c>
      <x:c r="H19" s="23" t="n">
        <x:f>COUNTIF('03_100项动作映射'!$H$6:$H$105,A19)</x:f>
        <x:v>3</x:v>
      </x:c>
      <x:c r="I19" s="23" t="str">
        <x:v>共用版本与缺陷能力；软件测试和FAT是不同验证节点，结论独立</x:v>
      </x:c>
      <x:c r="J19" s="23" t="str">
        <x:v>MVP核心</x:v>
      </x:c>
      <x:c r="K19" s="23" t="str"/>
    </x:row>
    <x:row r="20" ht="31.5" customHeight="1">
      <x:c r="A20" s="23" t="str">
        <x:v>SU-15</x:v>
      </x:c>
      <x:c r="B20" s="23" t="str">
        <x:v>产研与供应</x:v>
      </x:c>
      <x:c r="C20" s="23" t="str">
        <x:v>到货验收与质量记录</x:v>
      </x:c>
      <x:c r="D20" s="23" t="str">
        <x:v>检查流程</x:v>
      </x:c>
      <x:c r="E20" s="23" t="str">
        <x:v>设备或部件到货/出厂交付</x:v>
      </x:c>
      <x:c r="F20" s="23" t="str">
        <x:v>生成检查项→机械/电控质检→拍照/报告→缺陷处置→验收结论</x:v>
      </x:c>
      <x:c r="G20" s="23" t="str">
        <x:v>到货验收记录、质量证据和缺陷状态</x:v>
      </x:c>
      <x:c r="H20" s="23" t="n">
        <x:f>COUNTIF('03_100项动作映射'!$H$6:$H$105,A20)</x:f>
        <x:v>1</x:v>
      </x:c>
      <x:c r="I20" s="23" t="str">
        <x:v>机械、电控可共用验收模板，检查项和质量责任按专业配置</x:v>
      </x:c>
      <x:c r="J20" s="23" t="str">
        <x:v>MVP核心</x:v>
      </x:c>
      <x:c r="K20" s="23" t="str"/>
    </x:row>
    <x:row r="21" ht="31.5" customHeight="1">
      <x:c r="A21" s="23" t="str">
        <x:v>SU-16</x:v>
      </x:c>
      <x:c r="B21" s="23" t="str">
        <x:v>现场实施</x:v>
      </x:c>
      <x:c r="C21" s="23" t="str">
        <x:v>安装、配置与调试就绪</x:v>
      </x:c>
      <x:c r="D21" s="23" t="str">
        <x:v>现场流程</x:v>
      </x:c>
      <x:c r="E21" s="23" t="str">
        <x:v>出厂/进场就绪通过</x:v>
      </x:c>
      <x:c r="F21" s="23" t="str">
        <x:v>准备清单→安全培训→安装施工→通电通网/配置→完工复核</x:v>
      </x:c>
      <x:c r="G21" s="23" t="str">
        <x:v>安装记录、安全证据、配置清单和调试就绪结论</x:v>
      </x:c>
      <x:c r="H21" s="23" t="n">
        <x:f>COUNTIF('03_100项动作映射'!$H$6:$H$105,A21)</x:f>
        <x:v>3</x:v>
      </x:c>
      <x:c r="I21" s="23" t="str">
        <x:v>安装任务共用现场工作包；安全培训和调试就绪仍为独立检查项</x:v>
      </x:c>
      <x:c r="J21" s="23" t="str">
        <x:v>MVP核心</x:v>
      </x:c>
      <x:c r="K21" s="23" t="str"/>
    </x:row>
    <x:row r="22" ht="31.5" customHeight="1">
      <x:c r="A22" s="23" t="str">
        <x:v>SU-17</x:v>
      </x:c>
      <x:c r="B22" s="23" t="str">
        <x:v>现场实施</x:v>
      </x:c>
      <x:c r="C22" s="23" t="str">
        <x:v>分级调试与验证</x:v>
      </x:c>
      <x:c r="D22" s="23" t="str">
        <x:v>配置化流程</x:v>
      </x:c>
      <x:c r="E22" s="23" t="str">
        <x:v>调试就绪通过且相应合同范围启用</x:v>
      </x:c>
      <x:c r="F22" s="23" t="str">
        <x:v>选择调试等级→准备条件→安全确认→空/重载调试或ECS联调→结果确认</x:v>
      </x:c>
      <x:c r="G22" s="23" t="str">
        <x:v>各调试等级的准备、执行和验证记录</x:v>
      </x:c>
      <x:c r="H22" s="23" t="n">
        <x:f>COUNTIF('03_100项动作映射'!$H$6:$H$105,A22)</x:f>
        <x:v>12</x:v>
      </x:c>
      <x:c r="I22" s="23" t="str">
        <x:v>十二项动作合并为一个可配置流程；等级、测试结果和问题证据按实例独立</x:v>
      </x:c>
      <x:c r="J22" s="23" t="str">
        <x:v>MVP核心</x:v>
      </x:c>
      <x:c r="K22" s="23" t="str">
        <x:v>调试等级启用/跳过规则及安全培训复用有效期</x:v>
      </x:c>
    </x:row>
    <x:row r="23" ht="31.5" customHeight="1">
      <x:c r="A23" s="23" t="str">
        <x:v>SU-18</x:v>
      </x:c>
      <x:c r="B23" s="23" t="str">
        <x:v>现场实施</x:v>
      </x:c>
      <x:c r="C23" s="23" t="str">
        <x:v>操作培训与试运行</x:v>
      </x:c>
      <x:c r="D23" s="23" t="str">
        <x:v>现场流程</x:v>
      </x:c>
      <x:c r="E23" s="23" t="str">
        <x:v>合同范围内调试完成</x:v>
      </x:c>
      <x:c r="F23" s="23" t="str">
        <x:v>操作手册→安全/应急培训→试运行→效率统计→报告确认</x:v>
      </x:c>
      <x:c r="G23" s="23" t="str">
        <x:v>培训记录、操作手册和试运行报告</x:v>
      </x:c>
      <x:c r="H23" s="23" t="n">
        <x:f>COUNTIF('03_100项动作映射'!$H$6:$H$105,A23)</x:f>
        <x:v>2</x:v>
      </x:c>
      <x:c r="I23" s="23" t="str">
        <x:v>培训与试运行属于同一阶段流程，但培训签到和试运行结论独立留证</x:v>
      </x:c>
      <x:c r="J23" s="23" t="str">
        <x:v>MVP核心</x:v>
      </x:c>
      <x:c r="K23" s="23" t="str"/>
    </x:row>
    <x:row r="24" ht="31.5" customHeight="1">
      <x:c r="A24" s="23" t="str">
        <x:v>SU-19</x:v>
      </x:c>
      <x:c r="B24" s="23" t="str">
        <x:v>验收与维护</x:v>
      </x:c>
      <x:c r="C24" s="23" t="str">
        <x:v>验收、归档与维护移交</x:v>
      </x:c>
      <x:c r="D24" s="23" t="str">
        <x:v>阶段门流程</x:v>
      </x:c>
      <x:c r="E24" s="23" t="str">
        <x:v>验收就绪通过</x:v>
      </x:c>
      <x:c r="F24" s="23" t="str">
        <x:v>验收资料准备→验收会/签署→归档检查→生成快照/NAS移交→维护责任确认</x:v>
      </x:c>
      <x:c r="G24" s="23" t="str">
        <x:v>验收文件、归档快照、NAS记录和维护移交单</x:v>
      </x:c>
      <x:c r="H24" s="23" t="n">
        <x:f>COUNTIF('03_100项动作映射'!$H$6:$H$105,A24)</x:f>
        <x:v>5</x:v>
      </x:c>
      <x:c r="I24" s="23" t="str">
        <x:v>可形成一条闭环流程；验收签署、归档检查和维护责任转移分别留证</x:v>
      </x:c>
      <x:c r="J24" s="23" t="str">
        <x:v>MVP核心</x:v>
      </x:c>
      <x:c r="K24" s="23" t="str"/>
    </x:row>
    <x:row r="25" ht="31.5" customHeight="1">
      <x:c r="A25" s="23" t="str">
        <x:v>SU-20</x:v>
      </x:c>
      <x:c r="B25" s="23" t="str">
        <x:v>验收与维护</x:v>
      </x:c>
      <x:c r="C25" s="23" t="str">
        <x:v>维护巡检与质保关闭</x:v>
      </x:c>
      <x:c r="D25" s="23" t="str">
        <x:v>运维流程</x:v>
      </x:c>
      <x:c r="E25" s="23" t="str">
        <x:v>维护责任已移交或进入质保期</x:v>
      </x:c>
      <x:c r="F25" s="23" t="str">
        <x:v>点检/维护日志→问题处理→质保期评估→遗留项确认→关闭</x:v>
      </x:c>
      <x:c r="G25" s="23" t="str">
        <x:v>运维记录、维护手册和质保关闭结论</x:v>
      </x:c>
      <x:c r="H25" s="23" t="n">
        <x:f>COUNTIF('03_100项动作映射'!$H$6:$H$105,A25)</x:f>
        <x:v>2</x:v>
      </x:c>
      <x:c r="I25" s="23" t="str">
        <x:v>日常运维共用维护台账；质保关闭是独立审批节点</x:v>
      </x:c>
      <x:c r="J25" s="23" t="str">
        <x:v>MVP基础</x:v>
      </x:c>
      <x:c r="K25" s="23" t="str"/>
    </x:row>
    <x:row r="26" ht="31.5" customHeight="1">
      <x:c r="A26" s="23" t="str">
        <x:v>SU-21</x:v>
      </x:c>
      <x:c r="B26" s="23" t="str">
        <x:v>验收与维护</x:v>
      </x:c>
      <x:c r="C26" s="23" t="str">
        <x:v>项目复盘与知识沉淀</x:v>
      </x:c>
      <x:c r="D26" s="23" t="str">
        <x:v>复盘流程</x:v>
      </x:c>
      <x:c r="E26" s="23" t="str">
        <x:v>验收归档完成或达到项目关闭条件</x:v>
      </x:c>
      <x:c r="F26" s="23" t="str">
        <x:v>复盘资料→复盘会→改进项→知识审核/发布→项目关闭</x:v>
      </x:c>
      <x:c r="G26" s="23" t="str">
        <x:v>复盘报告、改进项和知识发布记录</x:v>
      </x:c>
      <x:c r="H26" s="23" t="n">
        <x:f>COUNTIF('03_100项动作映射'!$H$6:$H$105,A26)</x:f>
        <x:v>3</x:v>
      </x:c>
      <x:c r="I26" s="23" t="str">
        <x:v>复盘材料和会议可归为同一实例，知识发布必须经过受控审核</x:v>
      </x:c>
      <x:c r="J26" s="23" t="str">
        <x:v>MVP基础</x:v>
      </x:c>
      <x:c r="K26" s="23" t="str"/>
    </x:row>
    <x:row r="27" ht="31.5" customHeight="1">
      <x:c r="A27" s="23" t="str">
        <x:v>SU-22</x:v>
      </x:c>
      <x:c r="B27" s="23" t="str">
        <x:v>全阶段治理</x:v>
      </x:c>
      <x:c r="C27" s="23" t="str">
        <x:v>项目日报与周报</x:v>
      </x:c>
      <x:c r="D27" s="23" t="str">
        <x:v>报表能力</x:v>
      </x:c>
      <x:c r="E27" s="23" t="str">
        <x:v>到达上报周期或项目经理主动发起</x:v>
      </x:c>
      <x:c r="F27" s="23" t="str">
        <x:v>汇总任务/工时/问题→项目经理补充判断→确认→发布/留档</x:v>
      </x:c>
      <x:c r="G27" s="23" t="str">
        <x:v>项目日报汇总和项目周报快照</x:v>
      </x:c>
      <x:c r="H27" s="23" t="n">
        <x:f>COUNTIF('03_100项动作映射'!$H$6:$H$105,A27)</x:f>
        <x:v>2</x:v>
      </x:c>
      <x:c r="I27" s="23" t="str">
        <x:v>共用报表引擎和数据底座；日报、周报的责任人和周期分别配置</x:v>
      </x:c>
      <x:c r="J27" s="23" t="str">
        <x:v>MVP基础</x:v>
      </x:c>
      <x:c r="K27" s="23" t="str">
        <x:v>日报应调整为项目经理汇总，项目成员以周报/任务反馈为主</x:v>
      </x:c>
    </x:row>
    <x:row r="28" ht="31.5" customHeight="1">
      <x:c r="A28" s="23" t="str">
        <x:v>SU-23</x:v>
      </x:c>
      <x:c r="B28" s="23" t="str">
        <x:v>全阶段治理</x:v>
      </x:c>
      <x:c r="C28" s="23" t="str">
        <x:v>事项闭环中心</x:v>
      </x:c>
      <x:c r="D28" s="23" t="str">
        <x:v>公共能力</x:v>
      </x:c>
      <x:c r="E28" s="23" t="str">
        <x:v>出现问题、风险、变更、安全隐患或事件</x:v>
      </x:c>
      <x:c r="F28" s="23" t="str">
        <x:v>登记→分类→责任/期限→处理→验证→关闭/升级</x:v>
      </x:c>
      <x:c r="G28" s="23" t="str">
        <x:v>问题、风险、变更和安全事项的完整审计轨迹</x:v>
      </x:c>
      <x:c r="H28" s="23" t="n">
        <x:f>COUNTIF('03_100项动作映射'!$H$6:$H$105,A28)</x:f>
        <x:v>5</x:v>
      </x:c>
      <x:c r="I28" s="23" t="str">
        <x:v>共用底层状态机和提醒能力，但对象类型、权限、审批和关闭标准分别配置</x:v>
      </x:c>
      <x:c r="J28" s="23" t="str">
        <x:v>MVP核心</x:v>
      </x:c>
      <x:c r="K28" s="23" t="str">
        <x:v>四类事项的分类口径、审批权限和相互转化规则</x:v>
      </x:c>
    </x:row>
    <x:row r="29" ht="31.5" customHeight="1">
      <x:c r="A29" s="23" t="str">
        <x:v>SU-24</x:v>
      </x:c>
      <x:c r="B29" s="23" t="str">
        <x:v>全阶段治理</x:v>
      </x:c>
      <x:c r="C29" s="23" t="str">
        <x:v>受控文件与版本管理</x:v>
      </x:c>
      <x:c r="D29" s="23" t="str">
        <x:v>公共能力</x:v>
      </x:c>
      <x:c r="E29" s="23" t="str">
        <x:v>项目文件发布、修订或替换</x:v>
      </x:c>
      <x:c r="F29" s="23" t="str">
        <x:v>上传草稿→审核→发布版本→变更记录→作废/归档</x:v>
      </x:c>
      <x:c r="G29" s="23" t="str">
        <x:v>唯一有效版本和完整版本审计记录</x:v>
      </x:c>
      <x:c r="H29" s="23" t="n">
        <x:f>COUNTIF('03_100项动作映射'!$H$6:$H$105,A29)</x:f>
        <x:v>1</x:v>
      </x:c>
      <x:c r="I29" s="23" t="str">
        <x:v>所有工作包共用能力，文件的专业审核角色由目录/模板配置</x:v>
      </x:c>
      <x:c r="J29" s="23" t="str">
        <x:v>MVP基础</x:v>
      </x:c>
      <x:c r="K29" s="23" t="str"/>
    </x:row>
    <x:row r="30" ht="31.5" customHeight="1">
      <x:c r="A30" s="23" t="str">
        <x:v>SU-25</x:v>
      </x:c>
      <x:c r="B30" s="23" t="str">
        <x:v>全阶段治理</x:v>
      </x:c>
      <x:c r="C30" s="23" t="str">
        <x:v>预算执行与经营预测</x:v>
      </x:c>
      <x:c r="D30" s="23" t="str">
        <x:v>经营能力</x:v>
      </x:c>
      <x:c r="E30" s="23" t="str">
        <x:v>预算基线建立或到达经营上报周期</x:v>
      </x:c>
      <x:c r="F30" s="23" t="str">
        <x:v>预算执行归集→完工预测→付款节点/回款预测→月度经营上报</x:v>
      </x:c>
      <x:c r="G30" s="23" t="str">
        <x:v>预算执行、完工预测、回款预测和经营报告</x:v>
      </x:c>
      <x:c r="H30" s="23" t="n">
        <x:f>COUNTIF('03_100项动作映射'!$H$6:$H$105,A30)</x:f>
        <x:v>4</x:v>
      </x:c>
      <x:c r="I30" s="23" t="str">
        <x:v>共用经营数据底座；预算调整、付款凭证和正式报告分别留存</x:v>
      </x:c>
      <x:c r="J30" s="23" t="str">
        <x:v>MVP核心</x:v>
      </x:c>
      <x:c r="K30" s="23" t="str">
        <x:v>财务口径、实际成本来源和付款节点凭证要求</x:v>
      </x:c>
    </x:row>
    <x:row r="31" ht="31.5" customHeight="1">
      <x:c r="A31" s="23" t="str">
        <x:v>SU-26</x:v>
      </x:c>
      <x:c r="B31" s="23" t="str">
        <x:v>全阶段治理</x:v>
      </x:c>
      <x:c r="C31" s="23" t="str">
        <x:v>绩效证据快照</x:v>
      </x:c>
      <x:c r="D31" s="23" t="str">
        <x:v>数据能力</x:v>
      </x:c>
      <x:c r="E31" s="23" t="str">
        <x:v>月度、季度或项目阶段结算</x:v>
      </x:c>
      <x:c r="F31" s="23" t="str">
        <x:v>冻结任务/里程碑/质量/成本/协作证据→人工调整说明→审核→快照</x:v>
      </x:c>
      <x:c r="G31" s="23" t="str">
        <x:v>可追溯的绩效证据底座</x:v>
      </x:c>
      <x:c r="H31" s="23" t="n">
        <x:f>COUNTIF('03_100项动作映射'!$H$6:$H$105,A31)</x:f>
        <x:v>1</x:v>
      </x:c>
      <x:c r="I31" s="23" t="str">
        <x:v>系统先形成可靠证据，不直接把证据等同为KPI/OKR评分</x:v>
      </x:c>
      <x:c r="J31" s="23" t="str">
        <x:v>MVP基础</x:v>
      </x:c>
      <x:c r="K31" s="23" t="str">
        <x:v>KPI适用角色、OKR适用角色、评分周期及人工调整权限</x:v>
      </x:c>
    </x:row>
  </x:sheetData>
  <x:mergeCells>
    <x:mergeCell ref="A1:K1"/>
    <x:mergeCell ref="A2:K2"/>
    <x:mergeCell ref="A3:K3"/>
  </x:mergeCells>
  <x:conditionalFormatting sqref="J6:J31">
    <x:cfRule type="containsText" dxfId="1" priority="1" operator="containsText" text="MVP核心"/>
  </x:conditionalFormatting>
  <x:conditionalFormatting sqref="K6:K31">
    <x:cfRule type="notContainsBlanks" dxfId="2" priority="2"/>
  </x:conditionalFormatting>
  <x:dataValidations count="1">
    <x:dataValidation type="list" sqref="J6:J31">
      <x:formula1>"MVP核心,MVP基础,增强迭代"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f4dfc17b1147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99995803833" hidden="0" customWidth="1"/>
    <x:col min="2" max="2" width="10" hidden="0" customWidth="1"/>
    <x:col min="3" max="3" width="12.779999732971191" hidden="0" customWidth="1"/>
    <x:col min="4" max="4" width="12.220000267028809" hidden="0" customWidth="1"/>
    <x:col min="5" max="5" width="23.329999923706055" hidden="0" customWidth="1"/>
    <x:col min="6" max="6" width="40" hidden="0" customWidth="1"/>
    <x:col min="7" max="7" width="21.110000610351562" hidden="0" customWidth="1"/>
    <x:col min="8" max="8" width="10.5600004196167" hidden="0" customWidth="1"/>
    <x:col min="9" max="9" width="21.110000610351562" hidden="0" customWidth="1"/>
    <x:col min="10" max="10" width="21.110000610351562" hidden="0" customWidth="1"/>
    <x:col min="11" max="11" width="13.890000343322754" hidden="0" customWidth="1"/>
    <x:col min="12" max="12" width="18.889999389648438" hidden="0" customWidth="1"/>
    <x:col min="13" max="13" width="21.110000610351562" hidden="0" customWidth="1"/>
    <x:col min="14" max="14" width="18.889999389648438" hidden="0" customWidth="1"/>
    <x:col min="15" max="15" width="20" hidden="0" customWidth="1"/>
    <x:col min="16" max="16" width="11.109999656677246" hidden="0" customWidth="1"/>
    <x:col min="17" max="17" width="36.66999816894531" hidden="0" customWidth="1"/>
  </x:cols>
  <x:sheetData>
    <x:row r="1" ht="31.5" customHeight="1">
      <x:c r="A1" s="3" t="str">
        <x:v>项目规定动作系统归并映射 V0.1｜100项逐项追溯</x:v>
      </x:c>
      <x:c r="B1" s="3" t="str">
        <x:v>项目规定动作系统归并映射 V0.1｜100项逐项追溯</x:v>
      </x:c>
      <x:c r="C1" s="3" t="str">
        <x:v>项目规定动作系统归并映射 V0.1｜100项逐项追溯</x:v>
      </x:c>
      <x:c r="D1" s="3" t="str">
        <x:v>项目规定动作系统归并映射 V0.1｜100项逐项追溯</x:v>
      </x:c>
      <x:c r="E1" s="3" t="str">
        <x:v>项目规定动作系统归并映射 V0.1｜100项逐项追溯</x:v>
      </x:c>
      <x:c r="F1" s="3" t="str">
        <x:v>项目规定动作系统归并映射 V0.1｜100项逐项追溯</x:v>
      </x:c>
      <x:c r="G1" s="3" t="str">
        <x:v>项目规定动作系统归并映射 V0.1｜100项逐项追溯</x:v>
      </x:c>
      <x:c r="H1" s="3" t="str">
        <x:v>项目规定动作系统归并映射 V0.1｜100项逐项追溯</x:v>
      </x:c>
      <x:c r="I1" s="3" t="str">
        <x:v>项目规定动作系统归并映射 V0.1｜100项逐项追溯</x:v>
      </x:c>
      <x:c r="J1" s="3" t="str">
        <x:v>项目规定动作系统归并映射 V0.1｜100项逐项追溯</x:v>
      </x:c>
      <x:c r="K1" s="3" t="str">
        <x:v>项目规定动作系统归并映射 V0.1｜100项逐项追溯</x:v>
      </x:c>
      <x:c r="L1" s="3" t="str">
        <x:v>项目规定动作系统归并映射 V0.1｜100项逐项追溯</x:v>
      </x:c>
      <x:c r="M1" s="3" t="str">
        <x:v>项目规定动作系统归并映射 V0.1｜100项逐项追溯</x:v>
      </x:c>
      <x:c r="N1" s="3" t="str">
        <x:v>项目规定动作系统归并映射 V0.1｜100项逐项追溯</x:v>
      </x:c>
      <x:c r="O1" s="3" t="str">
        <x:v>项目规定动作系统归并映射 V0.1｜100项逐项追溯</x:v>
      </x:c>
      <x:c r="P1" s="3" t="str">
        <x:v>项目规定动作系统归并映射 V0.1｜100项逐项追溯</x:v>
      </x:c>
      <x:c r="Q1" s="3" t="str">
        <x:v>项目规定动作系统归并映射 V0.1｜100项逐项追溯</x:v>
      </x:c>
    </x:row>
    <x:row r="2" ht="25.5" customHeight="1">
      <x:c r="A2" s="7" t="str">
        <x:v>每项管理动作仍保留原编号、责任和成果物；本表只说明它在系统中属于哪个单元、节点或资料项，不代表删除管理要求。</x:v>
      </x:c>
      <x:c r="B2" s="7" t="str">
        <x:v>每项管理动作仍保留原编号、责任和成果物；本表只说明它在系统中属于哪个单元、节点或资料项，不代表删除管理要求。</x:v>
      </x:c>
      <x:c r="C2" s="7" t="str">
        <x:v>每项管理动作仍保留原编号、责任和成果物；本表只说明它在系统中属于哪个单元、节点或资料项，不代表删除管理要求。</x:v>
      </x:c>
      <x:c r="D2" s="7" t="str">
        <x:v>每项管理动作仍保留原编号、责任和成果物；本表只说明它在系统中属于哪个单元、节点或资料项，不代表删除管理要求。</x:v>
      </x:c>
      <x:c r="E2" s="7" t="str">
        <x:v>每项管理动作仍保留原编号、责任和成果物；本表只说明它在系统中属于哪个单元、节点或资料项，不代表删除管理要求。</x:v>
      </x:c>
      <x:c r="F2" s="7" t="str">
        <x:v>每项管理动作仍保留原编号、责任和成果物；本表只说明它在系统中属于哪个单元、节点或资料项，不代表删除管理要求。</x:v>
      </x:c>
      <x:c r="G2" s="7" t="str">
        <x:v>每项管理动作仍保留原编号、责任和成果物；本表只说明它在系统中属于哪个单元、节点或资料项，不代表删除管理要求。</x:v>
      </x:c>
      <x:c r="H2" s="7" t="str">
        <x:v>每项管理动作仍保留原编号、责任和成果物；本表只说明它在系统中属于哪个单元、节点或资料项，不代表删除管理要求。</x:v>
      </x:c>
      <x:c r="I2" s="7" t="str">
        <x:v>每项管理动作仍保留原编号、责任和成果物；本表只说明它在系统中属于哪个单元、节点或资料项，不代表删除管理要求。</x:v>
      </x:c>
      <x:c r="J2" s="7" t="str">
        <x:v>每项管理动作仍保留原编号、责任和成果物；本表只说明它在系统中属于哪个单元、节点或资料项，不代表删除管理要求。</x:v>
      </x:c>
      <x:c r="K2" s="7" t="str">
        <x:v>每项管理动作仍保留原编号、责任和成果物；本表只说明它在系统中属于哪个单元、节点或资料项，不代表删除管理要求。</x:v>
      </x:c>
      <x:c r="L2" s="7" t="str">
        <x:v>每项管理动作仍保留原编号、责任和成果物；本表只说明它在系统中属于哪个单元、节点或资料项，不代表删除管理要求。</x:v>
      </x:c>
      <x:c r="M2" s="7" t="str">
        <x:v>每项管理动作仍保留原编号、责任和成果物；本表只说明它在系统中属于哪个单元、节点或资料项，不代表删除管理要求。</x:v>
      </x:c>
      <x:c r="N2" s="7" t="str">
        <x:v>每项管理动作仍保留原编号、责任和成果物；本表只说明它在系统中属于哪个单元、节点或资料项，不代表删除管理要求。</x:v>
      </x:c>
      <x:c r="O2" s="7" t="str">
        <x:v>每项管理动作仍保留原编号、责任和成果物；本表只说明它在系统中属于哪个单元、节点或资料项，不代表删除管理要求。</x:v>
      </x:c>
      <x:c r="P2" s="7" t="str">
        <x:v>每项管理动作仍保留原编号、责任和成果物；本表只说明它在系统中属于哪个单元、节点或资料项，不代表删除管理要求。</x:v>
      </x:c>
      <x:c r="Q2" s="7" t="str">
        <x:v>每项管理动作仍保留原编号、责任和成果物；本表只说明它在系统中属于哪个单元、节点或资料项，不代表删除管理要求。</x:v>
      </x:c>
    </x:row>
    <x:row r="3" ht="22.5" customHeight="1">
      <x:c r="A3" s="10" t="str">
        <x:v>评审方式：先确认26个系统单元，再筛选“待确认”动作；原始业务内容以《项目规定动作与成果物主清单 V0.2》为准。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</x:row>
    <x:row r="5" ht="28.5" customHeight="1">
      <x:c r="A5" s="16" t="str">
        <x:v>原动作编号</x:v>
      </x:c>
      <x:c r="B5" s="16" t="str">
        <x:v>来源</x:v>
      </x:c>
      <x:c r="C5" s="16" t="str">
        <x:v>生命周期阶段</x:v>
      </x:c>
      <x:c r="D5" s="16" t="str">
        <x:v>专业工作包</x:v>
      </x:c>
      <x:c r="E5" s="16" t="str">
        <x:v>原规定动作</x:v>
      </x:c>
      <x:c r="F5" s="16" t="str">
        <x:v>原规定内容</x:v>
      </x:c>
      <x:c r="G5" s="16" t="str">
        <x:v>原成果物</x:v>
      </x:c>
      <x:c r="H5" s="16" t="str">
        <x:v>系统单元编号</x:v>
      </x:c>
      <x:c r="I5" s="16" t="str">
        <x:v>归并后系统单元</x:v>
      </x:c>
      <x:c r="J5" s="16" t="str">
        <x:v>系统节点/子项</x:v>
      </x:c>
      <x:c r="K5" s="16" t="str">
        <x:v>系统落地形态</x:v>
      </x:c>
      <x:c r="L5" s="16" t="str">
        <x:v>归并方式</x:v>
      </x:c>
      <x:c r="M5" s="16" t="str">
        <x:v>证据保留规则</x:v>
      </x:c>
      <x:c r="N5" s="16" t="str">
        <x:v>负责方</x:v>
      </x:c>
      <x:c r="O5" s="16" t="str">
        <x:v>协作/审核方</x:v>
      </x:c>
      <x:c r="P5" s="16" t="str">
        <x:v>评审状态</x:v>
      </x:c>
      <x:c r="Q5" s="16" t="str">
        <x:v>待确认事项</x:v>
      </x:c>
    </x:row>
    <x:row r="6" ht="31.5" customHeight="1">
      <x:c r="A6" s="22" t="str">
        <x:v>GOV-001</x:v>
      </x:c>
      <x:c r="B6" s="22" t="str">
        <x:v>需求补充</x:v>
      </x:c>
      <x:c r="C6" s="22" t="str">
        <x:v>商机与售前</x:v>
      </x:c>
      <x:c r="D6" s="22" t="str">
        <x:v>商务</x:v>
      </x:c>
      <x:c r="E6" s="22" t="str">
        <x:v>商机管理 / 建立商机主档</x:v>
      </x:c>
      <x:c r="F6" s="22" t="str">
        <x:v>登记客户、项目线索、设备类型、A-D等级、预计金额、预计时间和责任商务</x:v>
      </x:c>
      <x:c r="G6" s="22" t="str">
        <x:v>商机主档</x:v>
      </x:c>
      <x:c r="H6" s="22" t="str">
        <x:v>SU-01</x:v>
      </x:c>
      <x:c r="I6" s="22" t="str">
        <x:v>商机主档与阶段管理</x:v>
      </x:c>
      <x:c r="J6" s="22" t="str">
        <x:v>商机管理 / 建立商机主档</x:v>
      </x:c>
      <x:c r="K6" s="22" t="str">
        <x:v>主档/配置</x:v>
      </x:c>
      <x:c r="L6" s="22" t="str">
        <x:v>共用同一业务对象</x:v>
      </x:c>
      <x:c r="M6" s="22" t="str">
        <x:v>同一对象保留变更日志</x:v>
      </x:c>
      <x:c r="N6" s="22" t="str">
        <x:v>商务</x:v>
      </x:c>
      <x:c r="O6" s="22" t="str">
        <x:v>商务负责人</x:v>
      </x:c>
      <x:c r="P6" s="22" t="str">
        <x:v>初步归并</x:v>
      </x:c>
      <x:c r="Q6" s="22" t="str"/>
    </x:row>
    <x:row r="7" ht="31.5" customHeight="1">
      <x:c r="A7" s="23" t="str">
        <x:v>PMO-001</x:v>
      </x:c>
      <x:c r="B7" s="23" t="str">
        <x:v>PMO原始</x:v>
      </x:c>
      <x:c r="C7" s="23" t="str">
        <x:v>商机与售前</x:v>
      </x:c>
      <x:c r="D7" s="23" t="str">
        <x:v>商务</x:v>
      </x:c>
      <x:c r="E7" s="23" t="str">
        <x:v>商机记录 / 飞书记录</x:v>
      </x:c>
      <x:c r="F7" s="23" t="str">
        <x:v>商机表</x:v>
      </x:c>
      <x:c r="G7" s="23" t="str">
        <x:v>多维表格</x:v>
      </x:c>
      <x:c r="H7" s="23" t="str">
        <x:v>SU-01</x:v>
      </x:c>
      <x:c r="I7" s="23" t="str">
        <x:v>商机主档与阶段管理</x:v>
      </x:c>
      <x:c r="J7" s="23" t="str">
        <x:v>商机信息记录</x:v>
      </x:c>
      <x:c r="K7" s="23" t="str">
        <x:v>主档/配置</x:v>
      </x:c>
      <x:c r="L7" s="23" t="str">
        <x:v>共用同一业务对象</x:v>
      </x:c>
      <x:c r="M7" s="23" t="str">
        <x:v>同一对象保留变更日志</x:v>
      </x:c>
      <x:c r="N7" s="23" t="str">
        <x:v>营销</x:v>
      </x:c>
      <x:c r="O7" s="23" t="str">
        <x:v>营销+总经办</x:v>
      </x:c>
      <x:c r="P7" s="23" t="str">
        <x:v>初步归并</x:v>
      </x:c>
      <x:c r="Q7" s="23" t="str"/>
    </x:row>
    <x:row r="8" ht="31.5" customHeight="1">
      <x:c r="A8" s="23" t="str">
        <x:v>GOV-002</x:v>
      </x:c>
      <x:c r="B8" s="23" t="str">
        <x:v>需求补充</x:v>
      </x:c>
      <x:c r="C8" s="23" t="str">
        <x:v>商机与售前</x:v>
      </x:c>
      <x:c r="D8" s="23" t="str">
        <x:v>商务</x:v>
      </x:c>
      <x:c r="E8" s="23" t="str">
        <x:v>商机管理 / 更新商机等级</x:v>
      </x:c>
      <x:c r="F8" s="23" t="str">
        <x:v>商机事实变化时更新A-D等级、预计落单时间、下一步动作和竞争情况</x:v>
      </x:c>
      <x:c r="G8" s="23" t="str">
        <x:v>商机阶段变更记录</x:v>
      </x:c>
      <x:c r="H8" s="23" t="str">
        <x:v>SU-01</x:v>
      </x:c>
      <x:c r="I8" s="23" t="str">
        <x:v>商机主档与阶段管理</x:v>
      </x:c>
      <x:c r="J8" s="23" t="str">
        <x:v>商机管理 / 更新商机等级</x:v>
      </x:c>
      <x:c r="K8" s="23" t="str">
        <x:v>主档/配置</x:v>
      </x:c>
      <x:c r="L8" s="23" t="str">
        <x:v>共用同一业务对象</x:v>
      </x:c>
      <x:c r="M8" s="23" t="str">
        <x:v>同一对象保留变更日志</x:v>
      </x:c>
      <x:c r="N8" s="23" t="str">
        <x:v>商务</x:v>
      </x:c>
      <x:c r="O8" s="23" t="str">
        <x:v>商务负责人</x:v>
      </x:c>
      <x:c r="P8" s="23" t="str">
        <x:v>初步归并</x:v>
      </x:c>
      <x:c r="Q8" s="23" t="str"/>
    </x:row>
    <x:row r="9" ht="31.5" customHeight="1">
      <x:c r="A9" s="23" t="str">
        <x:v>PMO-002</x:v>
      </x:c>
      <x:c r="B9" s="23" t="str">
        <x:v>PMO原始</x:v>
      </x:c>
      <x:c r="C9" s="23" t="str">
        <x:v>商机与售前</x:v>
      </x:c>
      <x:c r="D9" s="23" t="str">
        <x:v>预算/经营</x:v>
      </x:c>
      <x:c r="E9" s="23" t="str">
        <x:v>销售立项
（≥D类） / 邮件流程</x:v>
      </x:c>
      <x:c r="F9" s="23" t="str">
        <x:v>包括项目基本情况、销售预算表</x:v>
      </x:c>
      <x:c r="G9" s="23" t="str">
        <x:v>邮件-是否可以走飞书流程？</x:v>
      </x:c>
      <x:c r="H9" s="23" t="str">
        <x:v>SU-02</x:v>
      </x:c>
      <x:c r="I9" s="23" t="str">
        <x:v>销售立项与售前投入审批</x:v>
      </x:c>
      <x:c r="J9" s="23" t="str">
        <x:v>销售立项
（≥D类） / 邮件流程</x:v>
      </x:c>
      <x:c r="K9" s="23" t="str">
        <x:v>流程控制节点</x:v>
      </x:c>
      <x:c r="L9" s="23" t="str">
        <x:v>保持独立控制节点</x:v>
      </x:c>
      <x:c r="M9" s="23" t="str">
        <x:v>独立保留申请/审批/结论</x:v>
      </x:c>
      <x:c r="N9" s="23" t="str">
        <x:v>营销</x:v>
      </x:c>
      <x:c r="O9" s="23" t="str">
        <x:v>审批方</x:v>
      </x:c>
      <x:c r="P9" s="23" t="str">
        <x:v>待确认</x:v>
      </x:c>
      <x:c r="Q9" s="23" t="str">
        <x:v>需制度补强：责任、审核、成果物或例外口径未明确</x:v>
      </x:c>
    </x:row>
    <x:row r="10" ht="31.5" customHeight="1">
      <x:c r="A10" s="23" t="str">
        <x:v>GOV-003</x:v>
      </x:c>
      <x:c r="B10" s="23" t="str">
        <x:v>需求补充</x:v>
      </x:c>
      <x:c r="C10" s="23" t="str">
        <x:v>商机与售前</x:v>
      </x:c>
      <x:c r="D10" s="23" t="str">
        <x:v>项目管理/综合</x:v>
      </x:c>
      <x:c r="E10" s="23" t="str">
        <x:v>售前资源 / 提交跨部门资源申请</x:v>
      </x:c>
      <x:c r="F10" s="23" t="str">
        <x:v>填写所需专业、人员周期、预计投入、差旅和预期成果</x:v>
      </x:c>
      <x:c r="G10" s="23" t="str">
        <x:v>售前资源申请单</x:v>
      </x:c>
      <x:c r="H10" s="23" t="str">
        <x:v>SU-02</x:v>
      </x:c>
      <x:c r="I10" s="23" t="str">
        <x:v>销售立项与售前投入审批</x:v>
      </x:c>
      <x:c r="J10" s="23" t="str">
        <x:v>售前资源 / 提交跨部门资源申请</x:v>
      </x:c>
      <x:c r="K10" s="23" t="str">
        <x:v>流程控制节点</x:v>
      </x:c>
      <x:c r="L10" s="23" t="str">
        <x:v>保持独立控制节点</x:v>
      </x:c>
      <x:c r="M10" s="23" t="str">
        <x:v>独立保留申请/审批/结论</x:v>
      </x:c>
      <x:c r="N10" s="23" t="str">
        <x:v>商务</x:v>
      </x:c>
      <x:c r="O10" s="23" t="str">
        <x:v>相关部门负责人</x:v>
      </x:c>
      <x:c r="P10" s="23" t="str">
        <x:v>初步归并</x:v>
      </x:c>
      <x:c r="Q10" s="23" t="str"/>
    </x:row>
    <x:row r="11" ht="42" customHeight="1">
      <x:c r="A11" s="23" t="str">
        <x:v>PMO-003</x:v>
      </x:c>
      <x:c r="B11" s="23" t="str">
        <x:v>PMO原始</x:v>
      </x:c>
      <x:c r="C11" s="23" t="str">
        <x:v>商机与售前</x:v>
      </x:c>
      <x:c r="D11" s="23" t="str">
        <x:v>预算/经营</x:v>
      </x:c>
      <x:c r="E11" s="23" t="str">
        <x:v>销售立项
（≥D类） / 归档</x:v>
      </x:c>
      <x:c r="F11" s="23" t="str">
        <x:v>所有销售立项预算表归档：NAS
统一文件命名方式</x:v>
      </x:c>
      <x:c r="G11" s="23" t="str">
        <x:v>EXCEL文件夹
EXCEL汇总表（含预算）
EXCEL汇总表（不含预算）</x:v>
      </x:c>
      <x:c r="H11" s="23" t="str">
        <x:v>SU-02</x:v>
      </x:c>
      <x:c r="I11" s="23" t="str">
        <x:v>销售立项与售前投入审批</x:v>
      </x:c>
      <x:c r="J11" s="23" t="str">
        <x:v>销售立项资料归集</x:v>
      </x:c>
      <x:c r="K11" s="23" t="str">
        <x:v>资料包子项</x:v>
      </x:c>
      <x:c r="L11" s="23" t="str">
        <x:v>合并为资料包子项</x:v>
      </x:c>
      <x:c r="M11" s="23" t="str">
        <x:v>子项独立留文件版本</x:v>
      </x:c>
      <x:c r="N11" s="23" t="str">
        <x:v>综合运营</x:v>
      </x:c>
      <x:c r="O11" s="23" t="str">
        <x:v>公司</x:v>
      </x:c>
      <x:c r="P11" s="23" t="str">
        <x:v>初步归并</x:v>
      </x:c>
      <x:c r="Q11" s="23" t="str"/>
    </x:row>
    <x:row r="12" ht="31.5" customHeight="1">
      <x:c r="A12" s="23" t="str">
        <x:v>GOV-004</x:v>
      </x:c>
      <x:c r="B12" s="23" t="str">
        <x:v>需求补充</x:v>
      </x:c>
      <x:c r="C12" s="23" t="str">
        <x:v>商机与售前</x:v>
      </x:c>
      <x:c r="D12" s="23" t="str">
        <x:v>预算/经营</x:v>
      </x:c>
      <x:c r="E12" s="23" t="str">
        <x:v>售前资源 / 分级审批售前投入</x:v>
      </x:c>
      <x:c r="F12" s="23" t="str">
        <x:v>少量投入由部门负责人确认，超过阈值时升级公司审批</x:v>
      </x:c>
      <x:c r="G12" s="23" t="str">
        <x:v>售前投入审批记录</x:v>
      </x:c>
      <x:c r="H12" s="23" t="str">
        <x:v>SU-02</x:v>
      </x:c>
      <x:c r="I12" s="23" t="str">
        <x:v>销售立项与售前投入审批</x:v>
      </x:c>
      <x:c r="J12" s="23" t="str">
        <x:v>售前资源 / 分级审批售前投入</x:v>
      </x:c>
      <x:c r="K12" s="23" t="str">
        <x:v>流程控制节点</x:v>
      </x:c>
      <x:c r="L12" s="23" t="str">
        <x:v>保持独立控制节点</x:v>
      </x:c>
      <x:c r="M12" s="23" t="str">
        <x:v>独立保留申请/审批/结论</x:v>
      </x:c>
      <x:c r="N12" s="23" t="str">
        <x:v>部门负责人</x:v>
      </x:c>
      <x:c r="O12" s="23" t="str">
        <x:v>公司级授权人</x:v>
      </x:c>
      <x:c r="P12" s="23" t="str">
        <x:v>初步归并</x:v>
      </x:c>
      <x:c r="Q12" s="23" t="str"/>
    </x:row>
    <x:row r="13" ht="42" customHeight="1">
      <x:c r="A13" s="23" t="str">
        <x:v>PMO-004</x:v>
      </x:c>
      <x:c r="B13" s="23" t="str">
        <x:v>PMO原始</x:v>
      </x:c>
      <x:c r="C13" s="23" t="str">
        <x:v>商机与售前</x:v>
      </x:c>
      <x:c r="D13" s="23" t="str">
        <x:v>预算/经营</x:v>
      </x:c>
      <x:c r="E13" s="23" t="str">
        <x:v>成本评估
（非标产品/投标项目） / 商务交底</x:v>
      </x:c>
      <x:c r="F13" s="23" t="str">
        <x:v>商务情况；项目进度、预计落单时间、用户预算、预计签单金额；预计签单合同链（销售与部门负责人、及分管领导同步）</x:v>
      </x:c>
      <x:c r="G13" s="23" t="str">
        <x:v>EXCEL</x:v>
      </x:c>
      <x:c r="H13" s="23" t="str">
        <x:v>SU-03</x:v>
      </x:c>
      <x:c r="I13" s="23" t="str">
        <x:v>售前成本评估与投标协同</x:v>
      </x:c>
      <x:c r="J13" s="23" t="str">
        <x:v>商务与经营输入</x:v>
      </x:c>
      <x:c r="K13" s="23" t="str">
        <x:v>资料包子项</x:v>
      </x:c>
      <x:c r="L13" s="23" t="str">
        <x:v>合并为资料包子项</x:v>
      </x:c>
      <x:c r="M13" s="23" t="str">
        <x:v>子项独立留文件版本</x:v>
      </x:c>
      <x:c r="N13" s="23" t="str">
        <x:v>营销</x:v>
      </x:c>
      <x:c r="O13" s="23" t="str">
        <x:v>事业部、产研</x:v>
      </x:c>
      <x:c r="P13" s="23" t="str">
        <x:v>待确认</x:v>
      </x:c>
      <x:c r="Q13" s="23" t="str">
        <x:v>投标前PMO参与时点、职责和成本输出模板</x:v>
      </x:c>
    </x:row>
    <x:row r="14" ht="31.5" customHeight="1">
      <x:c r="A14" s="23" t="str">
        <x:v>GOV-005</x:v>
      </x:c>
      <x:c r="B14" s="23" t="str">
        <x:v>需求补充</x:v>
      </x:c>
      <x:c r="C14" s="23" t="str">
        <x:v>商机与售前</x:v>
      </x:c>
      <x:c r="D14" s="23" t="str">
        <x:v>商务</x:v>
      </x:c>
      <x:c r="E14" s="23" t="str">
        <x:v>商机关闭 / 输赢复盘</x:v>
      </x:c>
      <x:c r="F14" s="23" t="str">
        <x:v>记录中标、失标、取消原因，汇总售前工时、差旅和外部投入</x:v>
      </x:c>
      <x:c r="G14" s="23" t="str">
        <x:v>商机关闭与输赢复盘记录</x:v>
      </x:c>
      <x:c r="H14" s="23" t="str">
        <x:v>SU-01</x:v>
      </x:c>
      <x:c r="I14" s="23" t="str">
        <x:v>商机主档与阶段管理</x:v>
      </x:c>
      <x:c r="J14" s="23" t="str">
        <x:v>商机关闭 / 输赢复盘</x:v>
      </x:c>
      <x:c r="K14" s="23" t="str">
        <x:v>主档/配置</x:v>
      </x:c>
      <x:c r="L14" s="23" t="str">
        <x:v>共用同一业务对象</x:v>
      </x:c>
      <x:c r="M14" s="23" t="str">
        <x:v>同一对象保留变更日志</x:v>
      </x:c>
      <x:c r="N14" s="23" t="str">
        <x:v>商务</x:v>
      </x:c>
      <x:c r="O14" s="23" t="str">
        <x:v>商务负责人/相关部门</x:v>
      </x:c>
      <x:c r="P14" s="23" t="str">
        <x:v>初步归并</x:v>
      </x:c>
      <x:c r="Q14" s="23" t="str"/>
    </x:row>
    <x:row r="15" ht="31.5" customHeight="1">
      <x:c r="A15" s="23" t="str">
        <x:v>PMO-005</x:v>
      </x:c>
      <x:c r="B15" s="23" t="str">
        <x:v>PMO原始</x:v>
      </x:c>
      <x:c r="C15" s="23" t="str">
        <x:v>商机与售前</x:v>
      </x:c>
      <x:c r="D15" s="23" t="str">
        <x:v>预算/经营</x:v>
      </x:c>
      <x:c r="E15" s="23" t="str">
        <x:v>成本评估
（非标产品/投标项目） / 资料交底</x:v>
      </x:c>
      <x:c r="F15" s="23" t="str">
        <x:v>调研资料：照片、视频、调研报告、产品调研清单、图纸</x:v>
      </x:c>
      <x:c r="G15" s="23" t="str">
        <x:v>资料包</x:v>
      </x:c>
      <x:c r="H15" s="23" t="str">
        <x:v>SU-03</x:v>
      </x:c>
      <x:c r="I15" s="23" t="str">
        <x:v>售前成本评估与投标协同</x:v>
      </x:c>
      <x:c r="J15" s="23" t="str">
        <x:v>调研资料</x:v>
      </x:c>
      <x:c r="K15" s="23" t="str">
        <x:v>资料包子项</x:v>
      </x:c>
      <x:c r="L15" s="23" t="str">
        <x:v>合并为资料包子项</x:v>
      </x:c>
      <x:c r="M15" s="23" t="str">
        <x:v>子项独立留文件版本</x:v>
      </x:c>
      <x:c r="N15" s="23" t="str">
        <x:v>营销</x:v>
      </x:c>
      <x:c r="O15" s="23" t="str">
        <x:v>事业部、产研</x:v>
      </x:c>
      <x:c r="P15" s="23" t="str">
        <x:v>初步归并</x:v>
      </x:c>
      <x:c r="Q15" s="23" t="str"/>
    </x:row>
    <x:row r="16" ht="42" customHeight="1">
      <x:c r="A16" s="23" t="str">
        <x:v>PMO-006</x:v>
      </x:c>
      <x:c r="B16" s="23" t="str">
        <x:v>PMO原始</x:v>
      </x:c>
      <x:c r="C16" s="23" t="str">
        <x:v>商机与售前</x:v>
      </x:c>
      <x:c r="D16" s="23" t="str">
        <x:v>预算/经营</x:v>
      </x:c>
      <x:c r="E16" s="23" t="str">
        <x:v>成本评估
（非标产品/投标项目）</x:v>
      </x:c>
      <x:c r="F16" s="23" t="str">
        <x:v>用户需求：一般需求，特别是与标品的差异化需求。不限于硬件需求、软件需求、论文专利需求、工期需求（如预计开工/完工时间）、效率需求、其他产品需求</x:v>
      </x:c>
      <x:c r="G16" s="23" t="str">
        <x:v>EXCEL</x:v>
      </x:c>
      <x:c r="H16" s="23" t="str">
        <x:v>SU-03</x:v>
      </x:c>
      <x:c r="I16" s="23" t="str">
        <x:v>售前成本评估与投标协同</x:v>
      </x:c>
      <x:c r="J16" s="23" t="str">
        <x:v>用户需求</x:v>
      </x:c>
      <x:c r="K16" s="23" t="str">
        <x:v>资料包子项</x:v>
      </x:c>
      <x:c r="L16" s="23" t="str">
        <x:v>合并为资料包子项</x:v>
      </x:c>
      <x:c r="M16" s="23" t="str">
        <x:v>子项独立留文件版本</x:v>
      </x:c>
      <x:c r="N16" s="23" t="str">
        <x:v>营销</x:v>
      </x:c>
      <x:c r="O16" s="23" t="str">
        <x:v>事业部、产研</x:v>
      </x:c>
      <x:c r="P16" s="23" t="str">
        <x:v>初步归并</x:v>
      </x:c>
      <x:c r="Q16" s="23" t="str"/>
    </x:row>
    <x:row r="17" ht="31.5" customHeight="1">
      <x:c r="A17" s="23" t="str">
        <x:v>PMO-007</x:v>
      </x:c>
      <x:c r="B17" s="23" t="str">
        <x:v>PMO原始</x:v>
      </x:c>
      <x:c r="C17" s="23" t="str">
        <x:v>商机与售前</x:v>
      </x:c>
      <x:c r="D17" s="23" t="str">
        <x:v>预算/经营</x:v>
      </x:c>
      <x:c r="E17" s="23" t="str">
        <x:v>成本评估
（非标产品/投标项目）</x:v>
      </x:c>
      <x:c r="F17" s="23" t="str">
        <x:v>项目清单：含品牌、型号、数量、预计签单金额</x:v>
      </x:c>
      <x:c r="G17" s="23" t="str">
        <x:v>EXCEL</x:v>
      </x:c>
      <x:c r="H17" s="23" t="str">
        <x:v>SU-03</x:v>
      </x:c>
      <x:c r="I17" s="23" t="str">
        <x:v>售前成本评估与投标协同</x:v>
      </x:c>
      <x:c r="J17" s="23" t="str">
        <x:v>设备/项目清单</x:v>
      </x:c>
      <x:c r="K17" s="23" t="str">
        <x:v>资料包子项</x:v>
      </x:c>
      <x:c r="L17" s="23" t="str">
        <x:v>合并为资料包子项</x:v>
      </x:c>
      <x:c r="M17" s="23" t="str">
        <x:v>子项独立留文件版本</x:v>
      </x:c>
      <x:c r="N17" s="23" t="str">
        <x:v>营销</x:v>
      </x:c>
      <x:c r="O17" s="23" t="str">
        <x:v>事业部、产研</x:v>
      </x:c>
      <x:c r="P17" s="23" t="str">
        <x:v>初步归并</x:v>
      </x:c>
      <x:c r="Q17" s="23" t="str"/>
    </x:row>
    <x:row r="18" ht="31.5" customHeight="1">
      <x:c r="A18" s="23" t="str">
        <x:v>PMO-008</x:v>
      </x:c>
      <x:c r="B18" s="23" t="str">
        <x:v>PMO原始</x:v>
      </x:c>
      <x:c r="C18" s="23" t="str">
        <x:v>商机与售前</x:v>
      </x:c>
      <x:c r="D18" s="23" t="str">
        <x:v>预算/经营</x:v>
      </x:c>
      <x:c r="E18" s="23" t="str">
        <x:v>成本评估
（非标产品/投标项目）</x:v>
      </x:c>
      <x:c r="F18" s="23" t="str">
        <x:v>供应链资料：联系方式、产品资料</x:v>
      </x:c>
      <x:c r="G18" s="23" t="str">
        <x:v>WORD</x:v>
      </x:c>
      <x:c r="H18" s="23" t="str">
        <x:v>SU-03</x:v>
      </x:c>
      <x:c r="I18" s="23" t="str">
        <x:v>售前成本评估与投标协同</x:v>
      </x:c>
      <x:c r="J18" s="23" t="str">
        <x:v>供应链资料</x:v>
      </x:c>
      <x:c r="K18" s="23" t="str">
        <x:v>资料包子项</x:v>
      </x:c>
      <x:c r="L18" s="23" t="str">
        <x:v>合并为资料包子项</x:v>
      </x:c>
      <x:c r="M18" s="23" t="str">
        <x:v>子项独立留文件版本</x:v>
      </x:c>
      <x:c r="N18" s="23" t="str">
        <x:v>营销</x:v>
      </x:c>
      <x:c r="O18" s="23" t="str">
        <x:v>事业部、产研</x:v>
      </x:c>
      <x:c r="P18" s="23" t="str">
        <x:v>初步归并</x:v>
      </x:c>
      <x:c r="Q18" s="23" t="str"/>
    </x:row>
    <x:row r="19" ht="31.5" customHeight="1">
      <x:c r="A19" s="23" t="str">
        <x:v>PMO-009</x:v>
      </x:c>
      <x:c r="B19" s="23" t="str">
        <x:v>PMO原始</x:v>
      </x:c>
      <x:c r="C19" s="23" t="str">
        <x:v>商机与售前</x:v>
      </x:c>
      <x:c r="D19" s="23" t="str">
        <x:v>预算/经营</x:v>
      </x:c>
      <x:c r="E19" s="23" t="str">
        <x:v>成本评估
（非标产品/投标项目）</x:v>
      </x:c>
      <x:c r="F19" s="23" t="str">
        <x:v>项目方案：PPT、技术规格、架构</x:v>
      </x:c>
      <x:c r="G19" s="23" t="str">
        <x:v>PPT、WORD</x:v>
      </x:c>
      <x:c r="H19" s="23" t="str">
        <x:v>SU-03</x:v>
      </x:c>
      <x:c r="I19" s="23" t="str">
        <x:v>售前成本评估与投标协同</x:v>
      </x:c>
      <x:c r="J19" s="23" t="str">
        <x:v>项目方案</x:v>
      </x:c>
      <x:c r="K19" s="23" t="str">
        <x:v>资料包子项</x:v>
      </x:c>
      <x:c r="L19" s="23" t="str">
        <x:v>合并为资料包子项</x:v>
      </x:c>
      <x:c r="M19" s="23" t="str">
        <x:v>子项独立留文件版本</x:v>
      </x:c>
      <x:c r="N19" s="23" t="str">
        <x:v>营销</x:v>
      </x:c>
      <x:c r="O19" s="23" t="str">
        <x:v>事业部、产研</x:v>
      </x:c>
      <x:c r="P19" s="23" t="str">
        <x:v>初步归并</x:v>
      </x:c>
      <x:c r="Q19" s="23" t="str"/>
    </x:row>
    <x:row r="20" ht="31.5" customHeight="1">
      <x:c r="A20" s="23" t="str">
        <x:v>PMO-010</x:v>
      </x:c>
      <x:c r="B20" s="23" t="str">
        <x:v>PMO原始</x:v>
      </x:c>
      <x:c r="C20" s="23" t="str">
        <x:v>商机与售前</x:v>
      </x:c>
      <x:c r="D20" s="23" t="str">
        <x:v>预算/经营</x:v>
      </x:c>
      <x:c r="E20" s="23" t="str">
        <x:v>成本评估
（非标产品/投标项目） / 技术交底</x:v>
      </x:c>
      <x:c r="F20" s="23" t="str">
        <x:v>不限于用户需求、方案、架构、与标品差异（清单）、风险等</x:v>
      </x:c>
      <x:c r="G20" s="23" t="str">
        <x:v>会议议题WORD
会议纪要WORD</x:v>
      </x:c>
      <x:c r="H20" s="23" t="str">
        <x:v>SU-03</x:v>
      </x:c>
      <x:c r="I20" s="23" t="str">
        <x:v>售前成本评估与投标协同</x:v>
      </x:c>
      <x:c r="J20" s="23" t="str">
        <x:v>技术交底</x:v>
      </x:c>
      <x:c r="K20" s="23" t="str">
        <x:v>资料包子项</x:v>
      </x:c>
      <x:c r="L20" s="23" t="str">
        <x:v>合并为资料包子项</x:v>
      </x:c>
      <x:c r="M20" s="23" t="str">
        <x:v>子项独立留文件版本</x:v>
      </x:c>
      <x:c r="N20" s="23" t="str">
        <x:v>营销</x:v>
      </x:c>
      <x:c r="O20" s="23" t="str">
        <x:v>事业部、产研</x:v>
      </x:c>
      <x:c r="P20" s="23" t="str">
        <x:v>初步归并</x:v>
      </x:c>
      <x:c r="Q20" s="23" t="str"/>
    </x:row>
    <x:row r="21" ht="31.5" customHeight="1">
      <x:c r="A21" s="23" t="str">
        <x:v>PMO-011</x:v>
      </x:c>
      <x:c r="B21" s="23" t="str">
        <x:v>PMO原始</x:v>
      </x:c>
      <x:c r="C21" s="23" t="str">
        <x:v>商机与售前</x:v>
      </x:c>
      <x:c r="D21" s="23" t="str">
        <x:v>预算/经营</x:v>
      </x:c>
      <x:c r="E21" s="23" t="str">
        <x:v>成本评估
（非标产品/投标项目） / 成本输出</x:v>
      </x:c>
      <x:c r="F21" s="23" t="str">
        <x:v>项目清单补充：研发工作量清单，含算法、通用、控制开发工作量</x:v>
      </x:c>
      <x:c r="G21" s="23" t="str">
        <x:v>EXCEL</x:v>
      </x:c>
      <x:c r="H21" s="23" t="str">
        <x:v>SU-03</x:v>
      </x:c>
      <x:c r="I21" s="23" t="str">
        <x:v>售前成本评估与投标协同</x:v>
      </x:c>
      <x:c r="J21" s="23" t="str">
        <x:v>研发工作量</x:v>
      </x:c>
      <x:c r="K21" s="23" t="str">
        <x:v>工作包任务</x:v>
      </x:c>
      <x:c r="L21" s="23" t="str">
        <x:v>共用工作包任务模板</x:v>
      </x:c>
      <x:c r="M21" s="23" t="str">
        <x:v>按工作包留交付成果和状态</x:v>
      </x:c>
      <x:c r="N21" s="23" t="str">
        <x:v>营销、事业部、产研、采购</x:v>
      </x:c>
      <x:c r="O21" s="23" t="str">
        <x:v>营销</x:v>
      </x:c>
      <x:c r="P21" s="23" t="str">
        <x:v>初步归并</x:v>
      </x:c>
      <x:c r="Q21" s="23" t="str"/>
    </x:row>
    <x:row r="22" ht="31.5" customHeight="1">
      <x:c r="A22" s="23" t="str">
        <x:v>PMO-012</x:v>
      </x:c>
      <x:c r="B22" s="23" t="str">
        <x:v>PMO原始</x:v>
      </x:c>
      <x:c r="C22" s="23" t="str">
        <x:v>商机与售前</x:v>
      </x:c>
      <x:c r="D22" s="23" t="str">
        <x:v>预算/经营</x:v>
      </x:c>
      <x:c r="E22" s="23" t="str">
        <x:v>成本评估
（非标产品/投标项目）</x:v>
      </x:c>
      <x:c r="F22" s="23" t="str">
        <x:v>项目计划：工期、人员投入数量及周期</x:v>
      </x:c>
      <x:c r="G22" s="23" t="str">
        <x:v>EXCEL</x:v>
      </x:c>
      <x:c r="H22" s="23" t="str">
        <x:v>SU-03</x:v>
      </x:c>
      <x:c r="I22" s="23" t="str">
        <x:v>售前成本评估与投标协同</x:v>
      </x:c>
      <x:c r="J22" s="23" t="str">
        <x:v>计划与人员投入</x:v>
      </x:c>
      <x:c r="K22" s="23" t="str">
        <x:v>工作包任务</x:v>
      </x:c>
      <x:c r="L22" s="23" t="str">
        <x:v>共用工作包任务模板</x:v>
      </x:c>
      <x:c r="M22" s="23" t="str">
        <x:v>按工作包留交付成果和状态</x:v>
      </x:c>
      <x:c r="N22" s="23" t="str">
        <x:v>营销、事业部、产研、采购</x:v>
      </x:c>
      <x:c r="O22" s="23" t="str">
        <x:v>营销</x:v>
      </x:c>
      <x:c r="P22" s="23" t="str">
        <x:v>初步归并</x:v>
      </x:c>
      <x:c r="Q22" s="23" t="str"/>
    </x:row>
    <x:row r="23" ht="42" customHeight="1">
      <x:c r="A23" s="23" t="str">
        <x:v>PMO-013</x:v>
      </x:c>
      <x:c r="B23" s="23" t="str">
        <x:v>PMO原始</x:v>
      </x:c>
      <x:c r="C23" s="23" t="str">
        <x:v>商机与售前</x:v>
      </x:c>
      <x:c r="D23" s="23" t="str">
        <x:v>预算/经营</x:v>
      </x:c>
      <x:c r="E23" s="23" t="str">
        <x:v>成本评估
（非标产品/投标项目）</x:v>
      </x:c>
      <x:c r="F23" s="23" t="str">
        <x:v>成本：实施预算EXCEL（1）设备采购成本——采购输出（2）项目管理、控制开发、PLC调试、差旅及项目费用——事业部输出（3）设计、算法开发、通用开发——产研输出</x:v>
      </x:c>
      <x:c r="G23" s="23" t="str">
        <x:v>EXCEL</x:v>
      </x:c>
      <x:c r="H23" s="23" t="str">
        <x:v>SU-03</x:v>
      </x:c>
      <x:c r="I23" s="23" t="str">
        <x:v>售前成本评估与投标协同</x:v>
      </x:c>
      <x:c r="J23" s="23" t="str">
        <x:v>实施成本汇总</x:v>
      </x:c>
      <x:c r="K23" s="23" t="str">
        <x:v>工作包任务</x:v>
      </x:c>
      <x:c r="L23" s="23" t="str">
        <x:v>共用工作包任务模板</x:v>
      </x:c>
      <x:c r="M23" s="23" t="str">
        <x:v>按工作包留交付成果和状态</x:v>
      </x:c>
      <x:c r="N23" s="23" t="str">
        <x:v>营销、事业部、产研、采购</x:v>
      </x:c>
      <x:c r="O23" s="23" t="str">
        <x:v>营销</x:v>
      </x:c>
      <x:c r="P23" s="23" t="str">
        <x:v>初步归并</x:v>
      </x:c>
      <x:c r="Q23" s="23" t="str"/>
    </x:row>
    <x:row r="24" ht="31.5" customHeight="1">
      <x:c r="A24" s="23" t="str">
        <x:v>GOV-006</x:v>
      </x:c>
      <x:c r="B24" s="23" t="str">
        <x:v>需求补充</x:v>
      </x:c>
      <x:c r="C24" s="23" t="str">
        <x:v>商务移交</x:v>
      </x:c>
      <x:c r="D24" s="23" t="str">
        <x:v>商务</x:v>
      </x:c>
      <x:c r="E24" s="23" t="str">
        <x:v>商务移交 / 正式移交申请</x:v>
      </x:c>
      <x:c r="F24" s="23" t="str">
        <x:v>提交项目基础、商务依据、范围技术、验收计划、投入风险五类资料</x:v>
      </x:c>
      <x:c r="G24" s="23" t="str">
        <x:v>商务移交资料包</x:v>
      </x:c>
      <x:c r="H24" s="23" t="str">
        <x:v>SU-04</x:v>
      </x:c>
      <x:c r="I24" s="23" t="str">
        <x:v>商务移交与交付准入</x:v>
      </x:c>
      <x:c r="J24" s="23" t="str">
        <x:v>商务移交 / 正式移交申请</x:v>
      </x:c>
      <x:c r="K24" s="23" t="str">
        <x:v>资料包子项</x:v>
      </x:c>
      <x:c r="L24" s="23" t="str">
        <x:v>合并为资料包子项</x:v>
      </x:c>
      <x:c r="M24" s="23" t="str">
        <x:v>子项独立留文件版本</x:v>
      </x:c>
      <x:c r="N24" s="23" t="str">
        <x:v>商务</x:v>
      </x:c>
      <x:c r="O24" s="23" t="str">
        <x:v>拟任项目经理/技术负责人</x:v>
      </x:c>
      <x:c r="P24" s="23" t="str">
        <x:v>初步归并</x:v>
      </x:c>
      <x:c r="Q24" s="23" t="str"/>
    </x:row>
    <x:row r="25" ht="31.5" customHeight="1">
      <x:c r="A25" s="23" t="str">
        <x:v>GOV-007</x:v>
      </x:c>
      <x:c r="B25" s="23" t="str">
        <x:v>需求补充</x:v>
      </x:c>
      <x:c r="C25" s="23" t="str">
        <x:v>商务移交</x:v>
      </x:c>
      <x:c r="D25" s="23" t="str">
        <x:v>项目管理/综合</x:v>
      </x:c>
      <x:c r="E25" s="23" t="str">
        <x:v>商务移交 / 完整性校验</x:v>
      </x:c>
      <x:c r="F25" s="23" t="str">
        <x:v>系统检查必填数据、必备成果和有效版本，生成缺项清单</x:v>
      </x:c>
      <x:c r="G25" s="23" t="str">
        <x:v>移交完整性检查单</x:v>
      </x:c>
      <x:c r="H25" s="23" t="str">
        <x:v>SU-04</x:v>
      </x:c>
      <x:c r="I25" s="23" t="str">
        <x:v>商务移交与交付准入</x:v>
      </x:c>
      <x:c r="J25" s="23" t="str">
        <x:v>商务移交 / 完整性校验</x:v>
      </x:c>
      <x:c r="K25" s="23" t="str">
        <x:v>自动规则/快照</x:v>
      </x:c>
      <x:c r="L25" s="23" t="str">
        <x:v>系统自动校验/生成</x:v>
      </x:c>
      <x:c r="M25" s="23" t="str">
        <x:v>保留系统校验/生成记录</x:v>
      </x:c>
      <x:c r="N25" s="23" t="str">
        <x:v>系统/项目经理</x:v>
      </x:c>
      <x:c r="O25" s="23" t="str">
        <x:v>PMO</x:v>
      </x:c>
      <x:c r="P25" s="23" t="str">
        <x:v>初步归并</x:v>
      </x:c>
      <x:c r="Q25" s="23" t="str"/>
    </x:row>
    <x:row r="26" ht="31.5" customHeight="1">
      <x:c r="A26" s="23" t="str">
        <x:v>GOV-008</x:v>
      </x:c>
      <x:c r="B26" s="23" t="str">
        <x:v>需求补充</x:v>
      </x:c>
      <x:c r="C26" s="23" t="str">
        <x:v>商务移交</x:v>
      </x:c>
      <x:c r="D26" s="23" t="str">
        <x:v>项目管理/综合</x:v>
      </x:c>
      <x:c r="E26" s="23" t="str">
        <x:v>商务移交 / 联合评审与准入</x:v>
      </x:c>
      <x:c r="F26" s="23" t="str">
        <x:v>项目经理、技术、部门和必要经营角色评估范围、风险、资源与交付条件</x:v>
      </x:c>
      <x:c r="G26" s="23" t="str">
        <x:v>交付准入评审结论</x:v>
      </x:c>
      <x:c r="H26" s="23" t="str">
        <x:v>SU-04</x:v>
      </x:c>
      <x:c r="I26" s="23" t="str">
        <x:v>商务移交与交付准入</x:v>
      </x:c>
      <x:c r="J26" s="23" t="str">
        <x:v>商务移交 / 联合评审与准入</x:v>
      </x:c>
      <x:c r="K26" s="23" t="str">
        <x:v>流程控制节点</x:v>
      </x:c>
      <x:c r="L26" s="23" t="str">
        <x:v>保持独立控制节点</x:v>
      </x:c>
      <x:c r="M26" s="23" t="str">
        <x:v>独立保留申请/审批/结论</x:v>
      </x:c>
      <x:c r="N26" s="23" t="str">
        <x:v>项目经理</x:v>
      </x:c>
      <x:c r="O26" s="23" t="str">
        <x:v>PMO/相关部门负责人</x:v>
      </x:c>
      <x:c r="P26" s="23" t="str">
        <x:v>初步归并</x:v>
      </x:c>
      <x:c r="Q26" s="23" t="str"/>
    </x:row>
    <x:row r="27" ht="31.5" customHeight="1">
      <x:c r="A27" s="23" t="str">
        <x:v>GOV-009</x:v>
      </x:c>
      <x:c r="B27" s="23" t="str">
        <x:v>需求补充</x:v>
      </x:c>
      <x:c r="C27" s="23" t="str">
        <x:v>商务移交</x:v>
      </x:c>
      <x:c r="D27" s="23" t="str">
        <x:v>商务</x:v>
      </x:c>
      <x:c r="E27" s="23" t="str">
        <x:v>提前开工 / 例外申请</x:v>
      </x:c>
      <x:c r="F27" s="23" t="str">
        <x:v>说明启动依据、临时范围、预算上限、缺项、补齐期限、风险责任人与停止条件</x:v>
      </x:c>
      <x:c r="G27" s="23" t="str">
        <x:v>提前开工申请单</x:v>
      </x:c>
      <x:c r="H27" s="23" t="str">
        <x:v>SU-05</x:v>
      </x:c>
      <x:c r="I27" s="23" t="str">
        <x:v>提前开工例外管理</x:v>
      </x:c>
      <x:c r="J27" s="23" t="str">
        <x:v>提前开工 / 例外申请</x:v>
      </x:c>
      <x:c r="K27" s="23" t="str">
        <x:v>流程控制节点</x:v>
      </x:c>
      <x:c r="L27" s="23" t="str">
        <x:v>保持独立控制节点</x:v>
      </x:c>
      <x:c r="M27" s="23" t="str">
        <x:v>独立保留申请/审批/结论</x:v>
      </x:c>
      <x:c r="N27" s="23" t="str">
        <x:v>商务/拟任项目经理</x:v>
      </x:c>
      <x:c r="O27" s="23" t="str">
        <x:v>公司级授权人</x:v>
      </x:c>
      <x:c r="P27" s="23" t="str">
        <x:v>待确认</x:v>
      </x:c>
      <x:c r="Q27" s="23" t="str">
        <x:v>公司级授权人、预算上限、有效期和停止条件</x:v>
      </x:c>
    </x:row>
    <x:row r="28" ht="31.5" customHeight="1">
      <x:c r="A28" s="23" t="str">
        <x:v>GOV-010</x:v>
      </x:c>
      <x:c r="B28" s="23" t="str">
        <x:v>需求补充</x:v>
      </x:c>
      <x:c r="C28" s="23" t="str">
        <x:v>商务移交</x:v>
      </x:c>
      <x:c r="D28" s="23" t="str">
        <x:v>项目管理/综合</x:v>
      </x:c>
      <x:c r="E28" s="23" t="str">
        <x:v>提前开工 / 风险会签与批准</x:v>
      </x:c>
      <x:c r="F28" s="23" t="str">
        <x:v>技术、预算和资源角色会签，公司级授权人批准限范围、限预算、限期限开工</x:v>
      </x:c>
      <x:c r="G28" s="23" t="str">
        <x:v>提前开工风险会签与批准记录</x:v>
      </x:c>
      <x:c r="H28" s="23" t="str">
        <x:v>SU-05</x:v>
      </x:c>
      <x:c r="I28" s="23" t="str">
        <x:v>提前开工例外管理</x:v>
      </x:c>
      <x:c r="J28" s="23" t="str">
        <x:v>提前开工 / 风险会签与批准</x:v>
      </x:c>
      <x:c r="K28" s="23" t="str">
        <x:v>流程控制节点</x:v>
      </x:c>
      <x:c r="L28" s="23" t="str">
        <x:v>保持独立控制节点</x:v>
      </x:c>
      <x:c r="M28" s="23" t="str">
        <x:v>独立保留申请/审批/结论</x:v>
      </x:c>
      <x:c r="N28" s="23" t="str">
        <x:v>项目经理</x:v>
      </x:c>
      <x:c r="O28" s="23" t="str">
        <x:v>公司级授权人</x:v>
      </x:c>
      <x:c r="P28" s="23" t="str">
        <x:v>初步归并</x:v>
      </x:c>
      <x:c r="Q28" s="23" t="str"/>
    </x:row>
    <x:row r="29" ht="42" customHeight="1">
      <x:c r="A29" s="23" t="str">
        <x:v>PMO-014</x:v>
      </x:c>
      <x:c r="B29" s="23" t="str">
        <x:v>PMO原始</x:v>
      </x:c>
      <x:c r="C29" s="23" t="str">
        <x:v>商务移交</x:v>
      </x:c>
      <x:c r="D29" s="23" t="str">
        <x:v>预算/经营</x:v>
      </x:c>
      <x:c r="E29" s="23" t="str">
        <x:v>开工/提前开工申请
（已中标/用户提供提前开工材料） / 商务交底</x:v>
      </x:c>
      <x:c r="F29" s="23" t="str">
        <x:v>商务情况；项目进度、预计落单时间、用户预算、预计签单金额；预计签单合同链（与部门负责人、及分管领导同步）</x:v>
      </x:c>
      <x:c r="G29" s="23" t="str">
        <x:v>EXCEL</x:v>
      </x:c>
      <x:c r="H29" s="23" t="str">
        <x:v>SU-05</x:v>
      </x:c>
      <x:c r="I29" s="23" t="str">
        <x:v>提前开工例外管理</x:v>
      </x:c>
      <x:c r="J29" s="23" t="str">
        <x:v>提前开工商务输入</x:v>
      </x:c>
      <x:c r="K29" s="23" t="str">
        <x:v>资料包子项</x:v>
      </x:c>
      <x:c r="L29" s="23" t="str">
        <x:v>合并为资料包子项</x:v>
      </x:c>
      <x:c r="M29" s="23" t="str">
        <x:v>子项独立留文件版本</x:v>
      </x:c>
      <x:c r="N29" s="23" t="str">
        <x:v>营销</x:v>
      </x:c>
      <x:c r="O29" s="23" t="str">
        <x:v>事业部、产研</x:v>
      </x:c>
      <x:c r="P29" s="23" t="str">
        <x:v>初步归并</x:v>
      </x:c>
      <x:c r="Q29" s="23" t="str"/>
    </x:row>
    <x:row r="30" ht="31.5" customHeight="1">
      <x:c r="A30" s="23" t="str">
        <x:v>GOV-011</x:v>
      </x:c>
      <x:c r="B30" s="23" t="str">
        <x:v>需求补充</x:v>
      </x:c>
      <x:c r="C30" s="23" t="str">
        <x:v>商务移交</x:v>
      </x:c>
      <x:c r="D30" s="23" t="str">
        <x:v>项目管理/综合</x:v>
      </x:c>
      <x:c r="E30" s="23" t="str">
        <x:v>提前开工 / 转正或到期处置</x:v>
      </x:c>
      <x:c r="F30" s="23" t="str">
        <x:v>签约和资料补齐后转正式基线；到期未转正时冻结新增承诺并升级裁决</x:v>
      </x:c>
      <x:c r="G30" s="23" t="str">
        <x:v>提前开工转正/到期处置记录</x:v>
      </x:c>
      <x:c r="H30" s="23" t="str">
        <x:v>SU-05</x:v>
      </x:c>
      <x:c r="I30" s="23" t="str">
        <x:v>提前开工例外管理</x:v>
      </x:c>
      <x:c r="J30" s="23" t="str">
        <x:v>提前开工 / 转正或到期处置</x:v>
      </x:c>
      <x:c r="K30" s="23" t="str">
        <x:v>流程控制节点</x:v>
      </x:c>
      <x:c r="L30" s="23" t="str">
        <x:v>保持独立控制节点</x:v>
      </x:c>
      <x:c r="M30" s="23" t="str">
        <x:v>独立保留申请/审批/结论</x:v>
      </x:c>
      <x:c r="N30" s="23" t="str">
        <x:v>项目经理</x:v>
      </x:c>
      <x:c r="O30" s="23" t="str">
        <x:v>PMO/公司级授权人</x:v>
      </x:c>
      <x:c r="P30" s="23" t="str">
        <x:v>初步归并</x:v>
      </x:c>
      <x:c r="Q30" s="23" t="str"/>
    </x:row>
    <x:row r="31" ht="42" customHeight="1">
      <x:c r="A31" s="23" t="str">
        <x:v>PMO-015</x:v>
      </x:c>
      <x:c r="B31" s="23" t="str">
        <x:v>PMO原始</x:v>
      </x:c>
      <x:c r="C31" s="23" t="str">
        <x:v>商务移交</x:v>
      </x:c>
      <x:c r="D31" s="23" t="str">
        <x:v>机械</x:v>
      </x:c>
      <x:c r="E31" s="23" t="str">
        <x:v>开工/提前开工申请
（已中标/用户提供提前开工材料） / 资料交底</x:v>
      </x:c>
      <x:c r="F31" s="23" t="str">
        <x:v>调研资料：照片、视频、调研报告、产品调研清单、图纸</x:v>
      </x:c>
      <x:c r="G31" s="23" t="str">
        <x:v>资料包</x:v>
      </x:c>
      <x:c r="H31" s="23" t="str">
        <x:v>SU-05</x:v>
      </x:c>
      <x:c r="I31" s="23" t="str">
        <x:v>提前开工例外管理</x:v>
      </x:c>
      <x:c r="J31" s="23" t="str">
        <x:v>调研资料</x:v>
      </x:c>
      <x:c r="K31" s="23" t="str">
        <x:v>资料包子项</x:v>
      </x:c>
      <x:c r="L31" s="23" t="str">
        <x:v>合并为资料包子项</x:v>
      </x:c>
      <x:c r="M31" s="23" t="str">
        <x:v>子项独立留文件版本</x:v>
      </x:c>
      <x:c r="N31" s="23" t="str">
        <x:v>营销</x:v>
      </x:c>
      <x:c r="O31" s="23" t="str">
        <x:v>事业部、产研</x:v>
      </x:c>
      <x:c r="P31" s="23" t="str">
        <x:v>初步归并</x:v>
      </x:c>
      <x:c r="Q31" s="23" t="str"/>
    </x:row>
    <x:row r="32" ht="42" customHeight="1">
      <x:c r="A32" s="23" t="str">
        <x:v>PMO-016</x:v>
      </x:c>
      <x:c r="B32" s="23" t="str">
        <x:v>PMO原始</x:v>
      </x:c>
      <x:c r="C32" s="23" t="str">
        <x:v>商务移交</x:v>
      </x:c>
      <x:c r="D32" s="23" t="str">
        <x:v>通用软件</x:v>
      </x:c>
      <x:c r="E32" s="23" t="str">
        <x:v>开工/提前开工申请
（已中标/用户提供提前开工材料）</x:v>
      </x:c>
      <x:c r="F32" s="23" t="str">
        <x:v>用户需求：一般需求，特别是与标品的差异化需求。不限于硬件需求、软件需求、论文专利需求、工期需求（如预计开工/完工时间）、效率需求、其他产品需求</x:v>
      </x:c>
      <x:c r="G32" s="23" t="str">
        <x:v>EXCEL</x:v>
      </x:c>
      <x:c r="H32" s="23" t="str">
        <x:v>SU-05</x:v>
      </x:c>
      <x:c r="I32" s="23" t="str">
        <x:v>提前开工例外管理</x:v>
      </x:c>
      <x:c r="J32" s="23" t="str">
        <x:v>用户需求</x:v>
      </x:c>
      <x:c r="K32" s="23" t="str">
        <x:v>资料包子项</x:v>
      </x:c>
      <x:c r="L32" s="23" t="str">
        <x:v>合并为资料包子项</x:v>
      </x:c>
      <x:c r="M32" s="23" t="str">
        <x:v>子项独立留文件版本</x:v>
      </x:c>
      <x:c r="N32" s="23" t="str">
        <x:v>营销</x:v>
      </x:c>
      <x:c r="O32" s="23" t="str">
        <x:v>事业部、产研</x:v>
      </x:c>
      <x:c r="P32" s="23" t="str">
        <x:v>初步归并</x:v>
      </x:c>
      <x:c r="Q32" s="23" t="str"/>
    </x:row>
    <x:row r="33" ht="42" customHeight="1">
      <x:c r="A33" s="23" t="str">
        <x:v>PMO-017</x:v>
      </x:c>
      <x:c r="B33" s="23" t="str">
        <x:v>PMO原始</x:v>
      </x:c>
      <x:c r="C33" s="23" t="str">
        <x:v>商务移交</x:v>
      </x:c>
      <x:c r="D33" s="23" t="str">
        <x:v>预算/经营</x:v>
      </x:c>
      <x:c r="E33" s="23" t="str">
        <x:v>开工/提前开工申请
（已中标/用户提供提前开工材料）</x:v>
      </x:c>
      <x:c r="F33" s="23" t="str">
        <x:v>项目清单：含品牌、型号、数量、成本、售价</x:v>
      </x:c>
      <x:c r="G33" s="23" t="str">
        <x:v>EXCEL</x:v>
      </x:c>
      <x:c r="H33" s="23" t="str">
        <x:v>SU-05</x:v>
      </x:c>
      <x:c r="I33" s="23" t="str">
        <x:v>提前开工例外管理</x:v>
      </x:c>
      <x:c r="J33" s="23" t="str">
        <x:v>设备/供货清单</x:v>
      </x:c>
      <x:c r="K33" s="23" t="str">
        <x:v>资料包子项</x:v>
      </x:c>
      <x:c r="L33" s="23" t="str">
        <x:v>合并为资料包子项</x:v>
      </x:c>
      <x:c r="M33" s="23" t="str">
        <x:v>子项独立留文件版本</x:v>
      </x:c>
      <x:c r="N33" s="23" t="str">
        <x:v>营销</x:v>
      </x:c>
      <x:c r="O33" s="23" t="str">
        <x:v>事业部、产研</x:v>
      </x:c>
      <x:c r="P33" s="23" t="str">
        <x:v>初步归并</x:v>
      </x:c>
      <x:c r="Q33" s="23" t="str"/>
    </x:row>
    <x:row r="34" ht="42" customHeight="1">
      <x:c r="A34" s="23" t="str">
        <x:v>PMO-018</x:v>
      </x:c>
      <x:c r="B34" s="23" t="str">
        <x:v>PMO原始</x:v>
      </x:c>
      <x:c r="C34" s="23" t="str">
        <x:v>商务移交</x:v>
      </x:c>
      <x:c r="D34" s="23" t="str">
        <x:v>采购/供应链</x:v>
      </x:c>
      <x:c r="E34" s="23" t="str">
        <x:v>开工/提前开工申请
（已中标/用户提供提前开工材料）</x:v>
      </x:c>
      <x:c r="F34" s="23" t="str">
        <x:v>供应链资料：联系方式、产品资料</x:v>
      </x:c>
      <x:c r="G34" s="23" t="str">
        <x:v>WORD</x:v>
      </x:c>
      <x:c r="H34" s="23" t="str">
        <x:v>SU-05</x:v>
      </x:c>
      <x:c r="I34" s="23" t="str">
        <x:v>提前开工例外管理</x:v>
      </x:c>
      <x:c r="J34" s="23" t="str">
        <x:v>供应链资料</x:v>
      </x:c>
      <x:c r="K34" s="23" t="str">
        <x:v>资料包子项</x:v>
      </x:c>
      <x:c r="L34" s="23" t="str">
        <x:v>合并为资料包子项</x:v>
      </x:c>
      <x:c r="M34" s="23" t="str">
        <x:v>子项独立留文件版本</x:v>
      </x:c>
      <x:c r="N34" s="23" t="str">
        <x:v>营销</x:v>
      </x:c>
      <x:c r="O34" s="23" t="str">
        <x:v>事业部、产研</x:v>
      </x:c>
      <x:c r="P34" s="23" t="str">
        <x:v>初步归并</x:v>
      </x:c>
      <x:c r="Q34" s="23" t="str"/>
    </x:row>
    <x:row r="35" ht="42" customHeight="1">
      <x:c r="A35" s="23" t="str">
        <x:v>PMO-019</x:v>
      </x:c>
      <x:c r="B35" s="23" t="str">
        <x:v>PMO原始</x:v>
      </x:c>
      <x:c r="C35" s="23" t="str">
        <x:v>商务移交</x:v>
      </x:c>
      <x:c r="D35" s="23" t="str">
        <x:v>商务</x:v>
      </x:c>
      <x:c r="E35" s="23" t="str">
        <x:v>开工/提前开工申请
（已中标/用户提供提前开工材料）</x:v>
      </x:c>
      <x:c r="F35" s="23" t="str">
        <x:v>项目方案：PPT、技术规格、架构</x:v>
      </x:c>
      <x:c r="G35" s="23" t="str">
        <x:v>PPT、WORD</x:v>
      </x:c>
      <x:c r="H35" s="23" t="str">
        <x:v>SU-05</x:v>
      </x:c>
      <x:c r="I35" s="23" t="str">
        <x:v>提前开工例外管理</x:v>
      </x:c>
      <x:c r="J35" s="23" t="str">
        <x:v>项目方案</x:v>
      </x:c>
      <x:c r="K35" s="23" t="str">
        <x:v>资料包子项</x:v>
      </x:c>
      <x:c r="L35" s="23" t="str">
        <x:v>合并为资料包子项</x:v>
      </x:c>
      <x:c r="M35" s="23" t="str">
        <x:v>子项独立留文件版本</x:v>
      </x:c>
      <x:c r="N35" s="23" t="str">
        <x:v>营销</x:v>
      </x:c>
      <x:c r="O35" s="23" t="str">
        <x:v>事业部、产研</x:v>
      </x:c>
      <x:c r="P35" s="23" t="str">
        <x:v>初步归并</x:v>
      </x:c>
      <x:c r="Q35" s="23" t="str"/>
    </x:row>
    <x:row r="36" ht="42" customHeight="1">
      <x:c r="A36" s="23" t="str">
        <x:v>PMO-020</x:v>
      </x:c>
      <x:c r="B36" s="23" t="str">
        <x:v>PMO原始</x:v>
      </x:c>
      <x:c r="C36" s="23" t="str">
        <x:v>商务移交</x:v>
      </x:c>
      <x:c r="D36" s="23" t="str">
        <x:v>商务</x:v>
      </x:c>
      <x:c r="E36" s="23" t="str">
        <x:v>开工/提前开工申请
（已中标/用户提供提前开工材料）</x:v>
      </x:c>
      <x:c r="F36" s="23" t="str">
        <x:v>干系人清单：项目使用部门及负责人、建设部门及负责人、中转部门及负责人</x:v>
      </x:c>
      <x:c r="G36" s="23" t="str">
        <x:v>EXCEL</x:v>
      </x:c>
      <x:c r="H36" s="23" t="str">
        <x:v>SU-05</x:v>
      </x:c>
      <x:c r="I36" s="23" t="str">
        <x:v>提前开工例外管理</x:v>
      </x:c>
      <x:c r="J36" s="23" t="str">
        <x:v>干系人清单</x:v>
      </x:c>
      <x:c r="K36" s="23" t="str">
        <x:v>资料包子项</x:v>
      </x:c>
      <x:c r="L36" s="23" t="str">
        <x:v>合并为资料包子项</x:v>
      </x:c>
      <x:c r="M36" s="23" t="str">
        <x:v>子项独立留文件版本</x:v>
      </x:c>
      <x:c r="N36" s="23" t="str">
        <x:v>营销</x:v>
      </x:c>
      <x:c r="O36" s="23" t="str">
        <x:v>事业部、产研</x:v>
      </x:c>
      <x:c r="P36" s="23" t="str">
        <x:v>初步归并</x:v>
      </x:c>
      <x:c r="Q36" s="23" t="str"/>
    </x:row>
    <x:row r="37" ht="42" customHeight="1">
      <x:c r="A37" s="23" t="str">
        <x:v>PMO-021</x:v>
      </x:c>
      <x:c r="B37" s="23" t="str">
        <x:v>PMO原始</x:v>
      </x:c>
      <x:c r="C37" s="23" t="str">
        <x:v>商务移交</x:v>
      </x:c>
      <x:c r="D37" s="23" t="str">
        <x:v>商务</x:v>
      </x:c>
      <x:c r="E37" s="23" t="str">
        <x:v>开工/提前开工申请
（已中标/用户提供提前开工材料）</x:v>
      </x:c>
      <x:c r="F37" s="23" t="str">
        <x:v>商务文件：盈海及上游的招标、投标、中标通知书、合同文件（附带说明上游合同链）</x:v>
      </x:c>
      <x:c r="G37" s="23" t="str">
        <x:v>PDF</x:v>
      </x:c>
      <x:c r="H37" s="23" t="str">
        <x:v>SU-05</x:v>
      </x:c>
      <x:c r="I37" s="23" t="str">
        <x:v>提前开工例外管理</x:v>
      </x:c>
      <x:c r="J37" s="23" t="str">
        <x:v>商务依据文件</x:v>
      </x:c>
      <x:c r="K37" s="23" t="str">
        <x:v>资料包子项</x:v>
      </x:c>
      <x:c r="L37" s="23" t="str">
        <x:v>合并为资料包子项</x:v>
      </x:c>
      <x:c r="M37" s="23" t="str">
        <x:v>子项独立留文件版本</x:v>
      </x:c>
      <x:c r="N37" s="23" t="str">
        <x:v>营销</x:v>
      </x:c>
      <x:c r="O37" s="23" t="str">
        <x:v>事业部、产研</x:v>
      </x:c>
      <x:c r="P37" s="23" t="str">
        <x:v>初步归并</x:v>
      </x:c>
      <x:c r="Q37" s="23" t="str"/>
    </x:row>
    <x:row r="38" ht="42" customHeight="1">
      <x:c r="A38" s="23" t="str">
        <x:v>PMO-022</x:v>
      </x:c>
      <x:c r="B38" s="23" t="str">
        <x:v>PMO原始</x:v>
      </x:c>
      <x:c r="C38" s="23" t="str">
        <x:v>商务移交</x:v>
      </x:c>
      <x:c r="D38" s="23" t="str">
        <x:v>商务</x:v>
      </x:c>
      <x:c r="E38" s="23" t="str">
        <x:v>开工/提前开工申请
（已中标/用户提供提前开工材料） / 技术交底</x:v>
      </x:c>
      <x:c r="F38" s="23" t="str">
        <x:v>不限于用户需求、方案、架构、与标品差异（清单）、风险等</x:v>
      </x:c>
      <x:c r="G38" s="23" t="str">
        <x:v>会议议题WORD
会议纪要WORD</x:v>
      </x:c>
      <x:c r="H38" s="23" t="str">
        <x:v>SU-05</x:v>
      </x:c>
      <x:c r="I38" s="23" t="str">
        <x:v>提前开工例外管理</x:v>
      </x:c>
      <x:c r="J38" s="23" t="str">
        <x:v>技术交底</x:v>
      </x:c>
      <x:c r="K38" s="23" t="str">
        <x:v>资料包子项</x:v>
      </x:c>
      <x:c r="L38" s="23" t="str">
        <x:v>合并为资料包子项</x:v>
      </x:c>
      <x:c r="M38" s="23" t="str">
        <x:v>子项独立留文件版本</x:v>
      </x:c>
      <x:c r="N38" s="23" t="str">
        <x:v>营销</x:v>
      </x:c>
      <x:c r="O38" s="23" t="str">
        <x:v>事业部、产研</x:v>
      </x:c>
      <x:c r="P38" s="23" t="str">
        <x:v>初步归并</x:v>
      </x:c>
      <x:c r="Q38" s="23" t="str"/>
    </x:row>
    <x:row r="39" ht="31.5" customHeight="1">
      <x:c r="A39" s="23" t="str">
        <x:v>GOV-012</x:v>
      </x:c>
      <x:c r="B39" s="23" t="str">
        <x:v>需求补充</x:v>
      </x:c>
      <x:c r="C39" s="23" t="str">
        <x:v>启动与基线</x:v>
      </x:c>
      <x:c r="D39" s="23" t="str">
        <x:v>项目管理/综合</x:v>
      </x:c>
      <x:c r="E39" s="23" t="str">
        <x:v>项目配置 / 建立项目层级与工作包</x:v>
      </x:c>
      <x:c r="F39" s="23" t="str">
        <x:v>按合同、设备、批次、现场和专业配置主项目、子项目及工作包</x:v>
      </x:c>
      <x:c r="G39" s="23" t="str">
        <x:v>项目结构与工作包清单</x:v>
      </x:c>
      <x:c r="H39" s="23" t="str">
        <x:v>SU-06</x:v>
      </x:c>
      <x:c r="I39" s="23" t="str">
        <x:v>项目结构与工作包配置</x:v>
      </x:c>
      <x:c r="J39" s="23" t="str">
        <x:v>项目配置 / 建立项目层级与工作包</x:v>
      </x:c>
      <x:c r="K39" s="23" t="str">
        <x:v>主档/配置</x:v>
      </x:c>
      <x:c r="L39" s="23" t="str">
        <x:v>共用同一业务对象</x:v>
      </x:c>
      <x:c r="M39" s="23" t="str">
        <x:v>同一对象保留变更日志</x:v>
      </x:c>
      <x:c r="N39" s="23" t="str">
        <x:v>项目经理</x:v>
      </x:c>
      <x:c r="O39" s="23" t="str">
        <x:v>PMO/技术负责人</x:v>
      </x:c>
      <x:c r="P39" s="23" t="str">
        <x:v>初步归并</x:v>
      </x:c>
      <x:c r="Q39" s="23" t="str"/>
    </x:row>
    <x:row r="40" ht="31.5" customHeight="1">
      <x:c r="A40" s="23" t="str">
        <x:v>GOV-013</x:v>
      </x:c>
      <x:c r="B40" s="23" t="str">
        <x:v>需求补充</x:v>
      </x:c>
      <x:c r="C40" s="23" t="str">
        <x:v>启动与基线</x:v>
      </x:c>
      <x:c r="D40" s="23" t="str">
        <x:v>项目管理/综合</x:v>
      </x:c>
      <x:c r="E40" s="23" t="str">
        <x:v>人员资源 / 提交资源需求</x:v>
      </x:c>
      <x:c r="F40" s="23" t="str">
        <x:v>按岗位、技能、周期和投入比例提出人员需求</x:v>
      </x:c>
      <x:c r="G40" s="23" t="str">
        <x:v>项目资源需求单</x:v>
      </x:c>
      <x:c r="H40" s="23" t="str">
        <x:v>SU-07</x:v>
      </x:c>
      <x:c r="I40" s="23" t="str">
        <x:v>资源需求、承诺与冲突裁决</x:v>
      </x:c>
      <x:c r="J40" s="23" t="str">
        <x:v>人员资源 / 提交资源需求</x:v>
      </x:c>
      <x:c r="K40" s="23" t="str">
        <x:v>流程控制节点</x:v>
      </x:c>
      <x:c r="L40" s="23" t="str">
        <x:v>保持独立控制节点</x:v>
      </x:c>
      <x:c r="M40" s="23" t="str">
        <x:v>独立保留申请/审批/结论</x:v>
      </x:c>
      <x:c r="N40" s="23" t="str">
        <x:v>项目经理</x:v>
      </x:c>
      <x:c r="O40" s="23" t="str">
        <x:v>部门负责人</x:v>
      </x:c>
      <x:c r="P40" s="23" t="str">
        <x:v>初步归并</x:v>
      </x:c>
      <x:c r="Q40" s="23" t="str"/>
    </x:row>
    <x:row r="41" ht="31.5" customHeight="1">
      <x:c r="A41" s="23" t="str">
        <x:v>GOV-014</x:v>
      </x:c>
      <x:c r="B41" s="23" t="str">
        <x:v>需求补充</x:v>
      </x:c>
      <x:c r="C41" s="23" t="str">
        <x:v>启动与基线</x:v>
      </x:c>
      <x:c r="D41" s="23" t="str">
        <x:v>项目管理/综合</x:v>
      </x:c>
      <x:c r="E41" s="23" t="str">
        <x:v>人员资源 / 部门资源承诺</x:v>
      </x:c>
      <x:c r="F41" s="23" t="str">
        <x:v>部门负责人承诺具体人员、可用时间和专业质量责任</x:v>
      </x:c>
      <x:c r="G41" s="23" t="str">
        <x:v>资源承诺记录</x:v>
      </x:c>
      <x:c r="H41" s="23" t="str">
        <x:v>SU-07</x:v>
      </x:c>
      <x:c r="I41" s="23" t="str">
        <x:v>资源需求、承诺与冲突裁决</x:v>
      </x:c>
      <x:c r="J41" s="23" t="str">
        <x:v>人员资源 / 部门资源承诺</x:v>
      </x:c>
      <x:c r="K41" s="23" t="str">
        <x:v>流程控制节点</x:v>
      </x:c>
      <x:c r="L41" s="23" t="str">
        <x:v>保持独立控制节点</x:v>
      </x:c>
      <x:c r="M41" s="23" t="str">
        <x:v>独立保留申请/审批/结论</x:v>
      </x:c>
      <x:c r="N41" s="23" t="str">
        <x:v>部门负责人</x:v>
      </x:c>
      <x:c r="O41" s="23" t="str">
        <x:v>项目经理/PMO</x:v>
      </x:c>
      <x:c r="P41" s="23" t="str">
        <x:v>初步归并</x:v>
      </x:c>
      <x:c r="Q41" s="23" t="str"/>
    </x:row>
    <x:row r="42" ht="31.5" customHeight="1">
      <x:c r="A42" s="23" t="str">
        <x:v>GOV-015</x:v>
      </x:c>
      <x:c r="B42" s="23" t="str">
        <x:v>需求补充</x:v>
      </x:c>
      <x:c r="C42" s="23" t="str">
        <x:v>启动与基线</x:v>
      </x:c>
      <x:c r="D42" s="23" t="str">
        <x:v>项目管理/综合</x:v>
      </x:c>
      <x:c r="E42" s="23" t="str">
        <x:v>人员资源 / 资源冲突裁决</x:v>
      </x:c>
      <x:c r="F42" s="23" t="str">
        <x:v>系统预警后先协调，仍未解决时由PMO汇总并提交公司级授权人裁决</x:v>
      </x:c>
      <x:c r="G42" s="23" t="str">
        <x:v>资源冲突与裁决记录</x:v>
      </x:c>
      <x:c r="H42" s="23" t="str">
        <x:v>SU-07</x:v>
      </x:c>
      <x:c r="I42" s="23" t="str">
        <x:v>资源需求、承诺与冲突裁决</x:v>
      </x:c>
      <x:c r="J42" s="23" t="str">
        <x:v>人员资源 / 资源冲突裁决</x:v>
      </x:c>
      <x:c r="K42" s="23" t="str">
        <x:v>流程控制节点</x:v>
      </x:c>
      <x:c r="L42" s="23" t="str">
        <x:v>保持独立控制节点</x:v>
      </x:c>
      <x:c r="M42" s="23" t="str">
        <x:v>独立保留申请/审批/结论</x:v>
      </x:c>
      <x:c r="N42" s="23" t="str">
        <x:v>PMO</x:v>
      </x:c>
      <x:c r="O42" s="23" t="str">
        <x:v>公司级授权人</x:v>
      </x:c>
      <x:c r="P42" s="23" t="str">
        <x:v>初步归并</x:v>
      </x:c>
      <x:c r="Q42" s="23" t="str"/>
    </x:row>
    <x:row r="43" ht="31.5" customHeight="1">
      <x:c r="A43" s="23" t="str">
        <x:v>PMO-023</x:v>
      </x:c>
      <x:c r="B43" s="23" t="str">
        <x:v>PMO原始</x:v>
      </x:c>
      <x:c r="C43" s="23" t="str">
        <x:v>启动与基线</x:v>
      </x:c>
      <x:c r="D43" s="23" t="str">
        <x:v>项目管理/综合</x:v>
      </x:c>
      <x:c r="E43" s="23" t="str">
        <x:v>项目启动 / 项目组建</x:v>
      </x:c>
      <x:c r="F43" s="23" t="str">
        <x:v>项目组成员：确定、建群、基本信息及资料同步，成员清单</x:v>
      </x:c>
      <x:c r="G43" s="23" t="str">
        <x:v>飞书知识库
EXCEL</x:v>
      </x:c>
      <x:c r="H43" s="23" t="str">
        <x:v>SU-08</x:v>
      </x:c>
      <x:c r="I43" s="23" t="str">
        <x:v>项目启动与团队组建</x:v>
      </x:c>
      <x:c r="J43" s="23" t="str">
        <x:v>项目启动 / 项目组建</x:v>
      </x:c>
      <x:c r="K43" s="23" t="str">
        <x:v>主档/配置</x:v>
      </x:c>
      <x:c r="L43" s="23" t="str">
        <x:v>共用同一业务对象</x:v>
      </x:c>
      <x:c r="M43" s="23" t="str">
        <x:v>同一对象保留变更日志</x:v>
      </x:c>
      <x:c r="N43" s="23" t="str">
        <x:v>事业部牵头、产研支撑</x:v>
      </x:c>
      <x:c r="O43" s="23" t="str">
        <x:v>事业部、产研</x:v>
      </x:c>
      <x:c r="P43" s="23" t="str">
        <x:v>初步归并</x:v>
      </x:c>
      <x:c r="Q43" s="23" t="str"/>
    </x:row>
    <x:row r="44" ht="31.5" customHeight="1">
      <x:c r="A44" s="23" t="str">
        <x:v>GOV-016</x:v>
      </x:c>
      <x:c r="B44" s="23" t="str">
        <x:v>需求补充</x:v>
      </x:c>
      <x:c r="C44" s="23" t="str">
        <x:v>启动与基线</x:v>
      </x:c>
      <x:c r="D44" s="23" t="str">
        <x:v>项目管理/综合</x:v>
      </x:c>
      <x:c r="E44" s="23" t="str">
        <x:v>项目计划 / 批准计划基线</x:v>
      </x:c>
      <x:c r="F44" s="23" t="str">
        <x:v>评审主计划、工作包计划、人员承诺和预算后形成基线版本</x:v>
      </x:c>
      <x:c r="G44" s="23" t="str">
        <x:v>项目计划基线V1</x:v>
      </x:c>
      <x:c r="H44" s="23" t="str">
        <x:v>SU-09</x:v>
      </x:c>
      <x:c r="I44" s="23" t="str">
        <x:v>项目计划基线与变更</x:v>
      </x:c>
      <x:c r="J44" s="23" t="str">
        <x:v>项目计划 / 批准计划基线</x:v>
      </x:c>
      <x:c r="K44" s="23" t="str">
        <x:v>流程控制节点</x:v>
      </x:c>
      <x:c r="L44" s="23" t="str">
        <x:v>保持独立控制节点</x:v>
      </x:c>
      <x:c r="M44" s="23" t="str">
        <x:v>独立保留申请/审批/结论</x:v>
      </x:c>
      <x:c r="N44" s="23" t="str">
        <x:v>项目经理</x:v>
      </x:c>
      <x:c r="O44" s="23" t="str">
        <x:v>PMO/相关部门负责人</x:v>
      </x:c>
      <x:c r="P44" s="23" t="str">
        <x:v>初步归并</x:v>
      </x:c>
      <x:c r="Q44" s="23" t="str"/>
    </x:row>
    <x:row r="45" ht="84" customHeight="1">
      <x:c r="A45" s="23" t="str">
        <x:v>PMO-024</x:v>
      </x:c>
      <x:c r="B45" s="23" t="str">
        <x:v>PMO原始</x:v>
      </x:c>
      <x:c r="C45" s="23" t="str">
        <x:v>启动与基线</x:v>
      </x:c>
      <x:c r="D45" s="23" t="str">
        <x:v>项目管理/综合</x:v>
      </x:c>
      <x:c r="E45" s="23" t="str">
        <x:v>项目启动 / 项目启动会</x:v>
      </x:c>
      <x:c r="F45" s="23" t="str">
        <x:v>会议组织：
1、会前明确：会议议题、参会人员
2、会议内容：
（1）项目基础信息同步
（2）成员公布、职责分工
（3）技术交底
（4）下一步工作安排
3、会议纪要：
（1）达成一致事项
（2）待办、责任人、完成时间</x:v>
      </x:c>
      <x:c r="G45" s="23" t="str">
        <x:v>WORD</x:v>
      </x:c>
      <x:c r="H45" s="23" t="str">
        <x:v>SU-08</x:v>
      </x:c>
      <x:c r="I45" s="23" t="str">
        <x:v>项目启动与团队组建</x:v>
      </x:c>
      <x:c r="J45" s="23" t="str">
        <x:v>项目启动 / 项目启动会</x:v>
      </x:c>
      <x:c r="K45" s="23" t="str">
        <x:v>流程控制节点</x:v>
      </x:c>
      <x:c r="L45" s="23" t="str">
        <x:v>保持独立控制节点</x:v>
      </x:c>
      <x:c r="M45" s="23" t="str">
        <x:v>独立保留申请/审批/结论</x:v>
      </x:c>
      <x:c r="N45" s="23" t="str">
        <x:v>事业部牵头、产研和营销支撑</x:v>
      </x:c>
      <x:c r="O45" s="23" t="str">
        <x:v>事业部、产研、营销、总经办</x:v>
      </x:c>
      <x:c r="P45" s="23" t="str">
        <x:v>初步归并</x:v>
      </x:c>
      <x:c r="Q45" s="23" t="str"/>
    </x:row>
    <x:row r="46" ht="31.5" customHeight="1">
      <x:c r="A46" s="23" t="str">
        <x:v>PMO-025</x:v>
      </x:c>
      <x:c r="B46" s="23" t="str">
        <x:v>PMO原始</x:v>
      </x:c>
      <x:c r="C46" s="23" t="str">
        <x:v>启动与基线</x:v>
      </x:c>
      <x:c r="D46" s="23" t="str">
        <x:v>安装调试/ECS</x:v>
      </x:c>
      <x:c r="E46" s="23" t="str">
        <x:v>交付立项 / 项目计划评审</x:v>
      </x:c>
      <x:c r="F46" s="23" t="str">
        <x:v>项目计划：月里程碑、设计及开发计划、安装及配置计划、调试工作准备清单、调试计划</x:v>
      </x:c>
      <x:c r="G46" s="23" t="str">
        <x:v>EXCEL
横道图</x:v>
      </x:c>
      <x:c r="H46" s="23" t="str">
        <x:v>SU-09</x:v>
      </x:c>
      <x:c r="I46" s="23" t="str">
        <x:v>项目计划基线与变更</x:v>
      </x:c>
      <x:c r="J46" s="23" t="str">
        <x:v>交付立项 / 项目计划评审</x:v>
      </x:c>
      <x:c r="K46" s="23" t="str">
        <x:v>流程控制节点</x:v>
      </x:c>
      <x:c r="L46" s="23" t="str">
        <x:v>保持独立控制节点</x:v>
      </x:c>
      <x:c r="M46" s="23" t="str">
        <x:v>独立保留申请/审批/结论</x:v>
      </x:c>
      <x:c r="N46" s="23" t="str">
        <x:v>项目经理+项目组成员</x:v>
      </x:c>
      <x:c r="O46" s="23" t="str">
        <x:v>事业部、产研、总经办</x:v>
      </x:c>
      <x:c r="P46" s="23" t="str">
        <x:v>初步归并</x:v>
      </x:c>
      <x:c r="Q46" s="23" t="str"/>
    </x:row>
    <x:row r="47" ht="31.5" customHeight="1">
      <x:c r="A47" s="23" t="str">
        <x:v>PMO-026</x:v>
      </x:c>
      <x:c r="B47" s="23" t="str">
        <x:v>PMO原始</x:v>
      </x:c>
      <x:c r="C47" s="23" t="str">
        <x:v>启动与基线</x:v>
      </x:c>
      <x:c r="D47" s="23" t="str">
        <x:v>项目管理/综合</x:v>
      </x:c>
      <x:c r="E47" s="23" t="str">
        <x:v>交付立项</x:v>
      </x:c>
      <x:c r="F47" s="23" t="str">
        <x:v>项目计划确认会议（至少每月一次项目组全员会议）</x:v>
      </x:c>
      <x:c r="G47" s="23" t="str">
        <x:v>会议纪要WORD</x:v>
      </x:c>
      <x:c r="H47" s="23" t="str">
        <x:v>SU-09</x:v>
      </x:c>
      <x:c r="I47" s="23" t="str">
        <x:v>项目计划基线与变更</x:v>
      </x:c>
      <x:c r="J47" s="23" t="str">
        <x:v>项目计划确认会</x:v>
      </x:c>
      <x:c r="K47" s="23" t="str">
        <x:v>流程控制节点</x:v>
      </x:c>
      <x:c r="L47" s="23" t="str">
        <x:v>保持独立控制节点</x:v>
      </x:c>
      <x:c r="M47" s="23" t="str">
        <x:v>独立保留申请/审批/结论</x:v>
      </x:c>
      <x:c r="N47" s="23" t="str">
        <x:v>项目经理+项目组成员</x:v>
      </x:c>
      <x:c r="O47" s="23" t="str">
        <x:v>事业部、产研</x:v>
      </x:c>
      <x:c r="P47" s="23" t="str">
        <x:v>初步归并</x:v>
      </x:c>
      <x:c r="Q47" s="23" t="str"/>
    </x:row>
    <x:row r="48" ht="42" customHeight="1">
      <x:c r="A48" s="23" t="str">
        <x:v>PMO-027</x:v>
      </x:c>
      <x:c r="B48" s="23" t="str">
        <x:v>PMO原始</x:v>
      </x:c>
      <x:c r="C48" s="23" t="str">
        <x:v>启动与基线</x:v>
      </x:c>
      <x:c r="D48" s="23" t="str">
        <x:v>预算/经营</x:v>
      </x:c>
      <x:c r="E48" s="23" t="str">
        <x:v>交付立项 / 实施预算评审</x:v>
      </x:c>
      <x:c r="F48" s="23" t="str">
        <x:v>预算编制</x:v>
      </x:c>
      <x:c r="G48" s="23" t="str">
        <x:v>EXCEL</x:v>
      </x:c>
      <x:c r="H48" s="23" t="str">
        <x:v>SU-10</x:v>
      </x:c>
      <x:c r="I48" s="23" t="str">
        <x:v>实施预算基线与审批</x:v>
      </x:c>
      <x:c r="J48" s="23" t="str">
        <x:v>交付立项 / 实施预算评审</x:v>
      </x:c>
      <x:c r="K48" s="23" t="str">
        <x:v>流程控制节点</x:v>
      </x:c>
      <x:c r="L48" s="23" t="str">
        <x:v>保持独立控制节点</x:v>
      </x:c>
      <x:c r="M48" s="23" t="str">
        <x:v>独立保留申请/审批/结论</x:v>
      </x:c>
      <x:c r="N48" s="23" t="str">
        <x:v>项目经理+项目组成员</x:v>
      </x:c>
      <x:c r="O48" s="23" t="str">
        <x:v>审批方</x:v>
      </x:c>
      <x:c r="P48" s="23" t="str">
        <x:v>待确认</x:v>
      </x:c>
      <x:c r="Q48" s="23" t="str">
        <x:v>需制度补强：评估表单建立：；1、梳理预算的填报基础表：项目计划、人员配置、人员占用时间；2、分包：工人及机械基础表单</x:v>
      </x:c>
    </x:row>
    <x:row r="49" ht="31.5" customHeight="1">
      <x:c r="A49" s="23" t="str">
        <x:v>PMO-028</x:v>
      </x:c>
      <x:c r="B49" s="23" t="str">
        <x:v>PMO原始</x:v>
      </x:c>
      <x:c r="C49" s="23" t="str">
        <x:v>启动与基线</x:v>
      </x:c>
      <x:c r="D49" s="23" t="str">
        <x:v>预算/经营</x:v>
      </x:c>
      <x:c r="E49" s="23" t="str">
        <x:v>交付立项</x:v>
      </x:c>
      <x:c r="F49" s="23" t="str">
        <x:v>预算评审会</x:v>
      </x:c>
      <x:c r="G49" s="23" t="str">
        <x:v>WOED</x:v>
      </x:c>
      <x:c r="H49" s="23" t="str">
        <x:v>SU-10</x:v>
      </x:c>
      <x:c r="I49" s="23" t="str">
        <x:v>实施预算基线与审批</x:v>
      </x:c>
      <x:c r="J49" s="23" t="str">
        <x:v>预算评审会</x:v>
      </x:c>
      <x:c r="K49" s="23" t="str">
        <x:v>流程控制节点</x:v>
      </x:c>
      <x:c r="L49" s="23" t="str">
        <x:v>保持独立控制节点</x:v>
      </x:c>
      <x:c r="M49" s="23" t="str">
        <x:v>独立保留申请/审批/结论</x:v>
      </x:c>
      <x:c r="N49" s="23" t="str">
        <x:v>项目经理</x:v>
      </x:c>
      <x:c r="O49" s="23" t="str">
        <x:v>审批方</x:v>
      </x:c>
      <x:c r="P49" s="23" t="str">
        <x:v>待确认</x:v>
      </x:c>
      <x:c r="Q49" s="23" t="str">
        <x:v>需制度补强：责任、审核、成果物或例外口径未明确</x:v>
      </x:c>
    </x:row>
    <x:row r="50" ht="31.5" customHeight="1">
      <x:c r="A50" s="23" t="str">
        <x:v>PMO-029</x:v>
      </x:c>
      <x:c r="B50" s="23" t="str">
        <x:v>PMO原始</x:v>
      </x:c>
      <x:c r="C50" s="23" t="str">
        <x:v>启动与基线</x:v>
      </x:c>
      <x:c r="D50" s="23" t="str">
        <x:v>预算/经营</x:v>
      </x:c>
      <x:c r="E50" s="23" t="str">
        <x:v>交付立项</x:v>
      </x:c>
      <x:c r="F50" s="23" t="str">
        <x:v>预算审批</x:v>
      </x:c>
      <x:c r="G50" s="23" t="str">
        <x:v>飞书</x:v>
      </x:c>
      <x:c r="H50" s="23" t="str">
        <x:v>SU-10</x:v>
      </x:c>
      <x:c r="I50" s="23" t="str">
        <x:v>实施预算基线与审批</x:v>
      </x:c>
      <x:c r="J50" s="23" t="str">
        <x:v>预算审批</x:v>
      </x:c>
      <x:c r="K50" s="23" t="str">
        <x:v>流程控制节点</x:v>
      </x:c>
      <x:c r="L50" s="23" t="str">
        <x:v>保持独立控制节点</x:v>
      </x:c>
      <x:c r="M50" s="23" t="str">
        <x:v>独立保留申请/审批/结论</x:v>
      </x:c>
      <x:c r="N50" s="23" t="str">
        <x:v>项目经理</x:v>
      </x:c>
      <x:c r="O50" s="23" t="str">
        <x:v>审批方</x:v>
      </x:c>
      <x:c r="P50" s="23" t="str">
        <x:v>待确认</x:v>
      </x:c>
      <x:c r="Q50" s="23" t="str">
        <x:v>需制度补强：责任、审核、成果物或例外口径未明确</x:v>
      </x:c>
    </x:row>
    <x:row r="51" ht="31.5" customHeight="1">
      <x:c r="A51" s="23" t="str">
        <x:v>PMO-037</x:v>
      </x:c>
      <x:c r="B51" s="23" t="str">
        <x:v>PMO原始</x:v>
      </x:c>
      <x:c r="C51" s="23" t="str">
        <x:v>启动与基线</x:v>
      </x:c>
      <x:c r="D51" s="23" t="str">
        <x:v>预算/经营</x:v>
      </x:c>
      <x:c r="E51" s="23" t="str">
        <x:v>设计 / 实施预算？</x:v>
      </x:c>
      <x:c r="F51" s="23"/>
      <x:c r="G51" s="23"/>
      <x:c r="H51" s="23" t="str">
        <x:v>SU-10</x:v>
      </x:c>
      <x:c r="I51" s="23" t="str">
        <x:v>实施预算基线与审批</x:v>
      </x:c>
      <x:c r="J51" s="23" t="str">
        <x:v>特殊项目预算延迟基线</x:v>
      </x:c>
      <x:c r="K51" s="23" t="str">
        <x:v>工作包任务</x:v>
      </x:c>
      <x:c r="L51" s="23" t="str">
        <x:v>共用工作包任务模板</x:v>
      </x:c>
      <x:c r="M51" s="23" t="str">
        <x:v>按工作包留交付成果和状态</x:v>
      </x:c>
      <x:c r="N51" s="23"/>
      <x:c r="O51" s="23"/>
      <x:c r="P51" s="23" t="str">
        <x:v>待确认</x:v>
      </x:c>
      <x:c r="Q51" s="23" t="str">
        <x:v>规定内容、成果物、负责方和审核方均未明确；需定义特殊项目预算延迟基线规则</x:v>
      </x:c>
    </x:row>
    <x:row r="52" ht="42" customHeight="1">
      <x:c r="A52" s="23" t="str">
        <x:v>PMO-030</x:v>
      </x:c>
      <x:c r="B52" s="23" t="str">
        <x:v>PMO原始</x:v>
      </x:c>
      <x:c r="C52" s="23" t="str">
        <x:v>调研与需求</x:v>
      </x:c>
      <x:c r="D52" s="23" t="str">
        <x:v>项目管理/综合</x:v>
      </x:c>
      <x:c r="E52" s="23" t="str">
        <x:v>调研 / 调研准备</x:v>
      </x:c>
      <x:c r="F52" s="23" t="str">
        <x:v>1、调研大纲：资料需求、踏勘需求、问询清单、跟谁调研（多名司机/生产部门）、跟班要求
2、资料收集</x:v>
      </x:c>
      <x:c r="G52" s="23" t="str">
        <x:v>EXCEL
文件夹</x:v>
      </x:c>
      <x:c r="H52" s="23" t="str">
        <x:v>SU-11</x:v>
      </x:c>
      <x:c r="I52" s="23" t="str">
        <x:v>调研与需求基线</x:v>
      </x:c>
      <x:c r="J52" s="23" t="str">
        <x:v>调研 / 调研准备</x:v>
      </x:c>
      <x:c r="K52" s="23" t="str">
        <x:v>资料包子项</x:v>
      </x:c>
      <x:c r="L52" s="23" t="str">
        <x:v>合并为资料包子项</x:v>
      </x:c>
      <x:c r="M52" s="23" t="str">
        <x:v>子项独立留文件版本</x:v>
      </x:c>
      <x:c r="N52" s="23" t="str">
        <x:v>机械、电气、集成经理、软件经理</x:v>
      </x:c>
      <x:c r="O52" s="23" t="str">
        <x:v>项目经理、技术经理</x:v>
      </x:c>
      <x:c r="P52" s="23" t="str">
        <x:v>初步归并</x:v>
      </x:c>
      <x:c r="Q52" s="23" t="str"/>
    </x:row>
    <x:row r="53" ht="52.5" customHeight="1">
      <x:c r="A53" s="23" t="str">
        <x:v>PMO-031</x:v>
      </x:c>
      <x:c r="B53" s="23" t="str">
        <x:v>PMO原始</x:v>
      </x:c>
      <x:c r="C53" s="23" t="str">
        <x:v>调研与需求</x:v>
      </x:c>
      <x:c r="D53" s="23" t="str">
        <x:v>机械</x:v>
      </x:c>
      <x:c r="E53" s="23" t="str">
        <x:v>调研 / 调研成果</x:v>
      </x:c>
      <x:c r="F53" s="23" t="str">
        <x:v>1、会议纪要：用户现场会会议纪要
2、调研报告：用户需求、工艺、资料目录等等
3、资料包：照片、视频、图纸（定义命名规则）</x:v>
      </x:c>
      <x:c r="G53" s="23" t="str">
        <x:v>EXCEL/WORD
文件夹</x:v>
      </x:c>
      <x:c r="H53" s="23" t="str">
        <x:v>SU-11</x:v>
      </x:c>
      <x:c r="I53" s="23" t="str">
        <x:v>调研与需求基线</x:v>
      </x:c>
      <x:c r="J53" s="23" t="str">
        <x:v>调研 / 调研成果</x:v>
      </x:c>
      <x:c r="K53" s="23" t="str">
        <x:v>资料包子项</x:v>
      </x:c>
      <x:c r="L53" s="23" t="str">
        <x:v>合并为资料包子项</x:v>
      </x:c>
      <x:c r="M53" s="23" t="str">
        <x:v>子项独立留文件版本</x:v>
      </x:c>
      <x:c r="N53" s="23" t="str">
        <x:v>机械、电气、集成经理、软件经理</x:v>
      </x:c>
      <x:c r="O53" s="23" t="str">
        <x:v>项目组</x:v>
      </x:c>
      <x:c r="P53" s="23" t="str">
        <x:v>初步归并</x:v>
      </x:c>
      <x:c r="Q53" s="23" t="str"/>
    </x:row>
    <x:row r="54" ht="63" customHeight="1">
      <x:c r="A54" s="23" t="str">
        <x:v>PMO-032</x:v>
      </x:c>
      <x:c r="B54" s="23" t="str">
        <x:v>PMO原始</x:v>
      </x:c>
      <x:c r="C54" s="23" t="str">
        <x:v>设计与评审</x:v>
      </x:c>
      <x:c r="D54" s="23" t="str">
        <x:v>通用软件</x:v>
      </x:c>
      <x:c r="E54" s="23" t="str">
        <x:v>设计 / 图纸设计</x:v>
      </x:c>
      <x:c r="F54" s="23" t="str">
        <x:v>！！调研-设计完成-再调研（现场）
1、图纸：机械图纸+电气图图纸（初设+详设+安装指导手册+评审），需要有版本管理
2、手册：支架（设备）安装手册编制
3、采购清单：现场施工辅助材料清单编制</x:v>
      </x:c>
      <x:c r="G54" s="23" t="str">
        <x:v>DWG、PDF、WORD、EXCEL</x:v>
      </x:c>
      <x:c r="H54" s="23" t="str">
        <x:v>SU-12</x:v>
      </x:c>
      <x:c r="I54" s="23" t="str">
        <x:v>专业设计与设计评审</x:v>
      </x:c>
      <x:c r="J54" s="23" t="str">
        <x:v>设计 / 图纸设计</x:v>
      </x:c>
      <x:c r="K54" s="23" t="str">
        <x:v>资料包子项</x:v>
      </x:c>
      <x:c r="L54" s="23" t="str">
        <x:v>合并为资料包子项</x:v>
      </x:c>
      <x:c r="M54" s="23" t="str">
        <x:v>子项独立留文件版本</x:v>
      </x:c>
      <x:c r="N54" s="23" t="str">
        <x:v>产研牵头、事业部配合</x:v>
      </x:c>
      <x:c r="O54" s="23" t="str">
        <x:v>项目经理、技术经理、采购</x:v>
      </x:c>
      <x:c r="P54" s="23" t="str">
        <x:v>待确认</x:v>
      </x:c>
      <x:c r="Q54" s="23" t="str">
        <x:v>当前专业工作包标为“通用软件”，但图纸设计可能涉及机械/电气，应按专业工作包拆分</x:v>
      </x:c>
    </x:row>
    <x:row r="55" ht="52.5" customHeight="1">
      <x:c r="A55" s="23" t="str">
        <x:v>PMO-033</x:v>
      </x:c>
      <x:c r="B55" s="23" t="str">
        <x:v>PMO原始</x:v>
      </x:c>
      <x:c r="C55" s="23" t="str">
        <x:v>设计与评审</x:v>
      </x:c>
      <x:c r="D55" s="23" t="str">
        <x:v>通用软件</x:v>
      </x:c>
      <x:c r="E55" s="23" t="str">
        <x:v>设计 / 软件设计</x:v>
      </x:c>
      <x:c r="F55" s="23" t="str">
        <x:v>1、软件版本定义
2、软件需求规格说明、详细功能设计
3、软件功能清单：明确工作量、责任人
4、产品安全设计</x:v>
      </x:c>
      <x:c r="G55" s="23" t="str">
        <x:v>EXCEL、WORD</x:v>
      </x:c>
      <x:c r="H55" s="23" t="str">
        <x:v>SU-12</x:v>
      </x:c>
      <x:c r="I55" s="23" t="str">
        <x:v>专业设计与设计评审</x:v>
      </x:c>
      <x:c r="J55" s="23" t="str">
        <x:v>设计 / 软件设计</x:v>
      </x:c>
      <x:c r="K55" s="23" t="str">
        <x:v>资料包子项</x:v>
      </x:c>
      <x:c r="L55" s="23" t="str">
        <x:v>合并为资料包子项</x:v>
      </x:c>
      <x:c r="M55" s="23" t="str">
        <x:v>子项独立留文件版本</x:v>
      </x:c>
      <x:c r="N55" s="23" t="str">
        <x:v>质量把控：产研
软件工作牵头：软件经理
编制：软件经理、技术经理、控制开发、产研</x:v>
      </x:c>
      <x:c r="O55" s="23" t="str">
        <x:v>评审委员会</x:v>
      </x:c>
      <x:c r="P55" s="23" t="str">
        <x:v>待确认</x:v>
      </x:c>
      <x:c r="Q55" s="23" t="str">
        <x:v>需制度补强：评审委员会：先定义角色；产品评审：固化模式；1.需求评审；2.功能点评审；3.测试用例评审；封版产品；迭代产品；首台套</x:v>
      </x:c>
    </x:row>
    <x:row r="56" ht="42" customHeight="1">
      <x:c r="A56" s="23" t="str">
        <x:v>PMO-034</x:v>
      </x:c>
      <x:c r="B56" s="23" t="str">
        <x:v>PMO原始</x:v>
      </x:c>
      <x:c r="C56" s="23" t="str">
        <x:v>设计与评审</x:v>
      </x:c>
      <x:c r="D56" s="23" t="str">
        <x:v>通用软件</x:v>
      </x:c>
      <x:c r="E56" s="23" t="str">
        <x:v>设计 / 验收标准设计</x:v>
      </x:c>
      <x:c r="F56" s="23" t="str">
        <x:v>1、软件：工艺、人机结合作业方式、功能
2、验收指标：统计标准</x:v>
      </x:c>
      <x:c r="G56" s="23" t="str">
        <x:v>EXCEL</x:v>
      </x:c>
      <x:c r="H56" s="23" t="str">
        <x:v>SU-12</x:v>
      </x:c>
      <x:c r="I56" s="23" t="str">
        <x:v>专业设计与设计评审</x:v>
      </x:c>
      <x:c r="J56" s="23" t="str">
        <x:v>设计 / 验收标准设计</x:v>
      </x:c>
      <x:c r="K56" s="23" t="str">
        <x:v>资料包子项</x:v>
      </x:c>
      <x:c r="L56" s="23" t="str">
        <x:v>合并为资料包子项</x:v>
      </x:c>
      <x:c r="M56" s="23" t="str">
        <x:v>子项独立留文件版本</x:v>
      </x:c>
      <x:c r="N56" s="23" t="str">
        <x:v>产研牵头、事业部配合、营销配合</x:v>
      </x:c>
      <x:c r="O56" s="23" t="str">
        <x:v>项目经理、技术经理、产研负责人</x:v>
      </x:c>
      <x:c r="P56" s="23" t="str">
        <x:v>初步归并</x:v>
      </x:c>
      <x:c r="Q56" s="23" t="str"/>
    </x:row>
    <x:row r="57" ht="42" customHeight="1">
      <x:c r="A57" s="23" t="str">
        <x:v>PMO-035</x:v>
      </x:c>
      <x:c r="B57" s="23" t="str">
        <x:v>PMO原始</x:v>
      </x:c>
      <x:c r="C57" s="23" t="str">
        <x:v>设计与评审</x:v>
      </x:c>
      <x:c r="D57" s="23" t="str">
        <x:v>通用软件</x:v>
      </x:c>
      <x:c r="E57" s="23" t="str">
        <x:v>设计 / 设计审查会【内部】</x:v>
      </x:c>
      <x:c r="F57" s="23" t="str">
        <x:v>1、设计审查资料：面向用户，对图纸、供货清单、软件设计、验收标准进行设计审查
2、设计审查会：形成会议纪要</x:v>
      </x:c>
      <x:c r="G57" s="23" t="str">
        <x:v>汇报资料包
WORD、PDF</x:v>
      </x:c>
      <x:c r="H57" s="23" t="str">
        <x:v>SU-12</x:v>
      </x:c>
      <x:c r="I57" s="23" t="str">
        <x:v>专业设计与设计评审</x:v>
      </x:c>
      <x:c r="J57" s="23" t="str">
        <x:v>设计 / 设计审查会【内部】</x:v>
      </x:c>
      <x:c r="K57" s="23" t="str">
        <x:v>流程控制节点</x:v>
      </x:c>
      <x:c r="L57" s="23" t="str">
        <x:v>保持独立控制节点</x:v>
      </x:c>
      <x:c r="M57" s="23" t="str">
        <x:v>独立保留申请/审批/结论</x:v>
      </x:c>
      <x:c r="N57" s="23" t="str">
        <x:v>项目组</x:v>
      </x:c>
      <x:c r="O57" s="23" t="str">
        <x:v>评审委员会</x:v>
      </x:c>
      <x:c r="P57" s="23" t="str">
        <x:v>待确认</x:v>
      </x:c>
      <x:c r="Q57" s="23" t="str">
        <x:v>图纸设计的专业归属、评审委员会角色和设计返工规则</x:v>
      </x:c>
    </x:row>
    <x:row r="58" ht="42" customHeight="1">
      <x:c r="A58" s="23" t="str">
        <x:v>PMO-036</x:v>
      </x:c>
      <x:c r="B58" s="23" t="str">
        <x:v>PMO原始</x:v>
      </x:c>
      <x:c r="C58" s="23" t="str">
        <x:v>设计与评审</x:v>
      </x:c>
      <x:c r="D58" s="23" t="str">
        <x:v>通用软件</x:v>
      </x:c>
      <x:c r="E58" s="23" t="str">
        <x:v>设计 / 设计审查会【外部】</x:v>
      </x:c>
      <x:c r="F58" s="23" t="str">
        <x:v>1、设计审查资料：面向用户，对图纸、供货清单、软件设计、验收标准进行设计审查【司机/生产部门确认】
2、设计审查会：形成会议纪要</x:v>
      </x:c>
      <x:c r="G58" s="23" t="str">
        <x:v>汇报资料包
WORD、PDF</x:v>
      </x:c>
      <x:c r="H58" s="23" t="str">
        <x:v>SU-12</x:v>
      </x:c>
      <x:c r="I58" s="23" t="str">
        <x:v>专业设计与设计评审</x:v>
      </x:c>
      <x:c r="J58" s="23" t="str">
        <x:v>设计 / 设计审查会【外部】</x:v>
      </x:c>
      <x:c r="K58" s="23" t="str">
        <x:v>流程控制节点</x:v>
      </x:c>
      <x:c r="L58" s="23" t="str">
        <x:v>保持独立控制节点</x:v>
      </x:c>
      <x:c r="M58" s="23" t="str">
        <x:v>独立保留申请/审批/结论</x:v>
      </x:c>
      <x:c r="N58" s="23" t="str">
        <x:v>项目组</x:v>
      </x:c>
      <x:c r="O58" s="23" t="str">
        <x:v>最终用户</x:v>
      </x:c>
      <x:c r="P58" s="23" t="str">
        <x:v>初步归并</x:v>
      </x:c>
      <x:c r="Q58" s="23" t="str"/>
    </x:row>
    <x:row r="59" ht="42" customHeight="1">
      <x:c r="A59" s="23" t="str">
        <x:v>PMO-038</x:v>
      </x:c>
      <x:c r="B59" s="23" t="str">
        <x:v>PMO原始</x:v>
      </x:c>
      <x:c r="C59" s="23" t="str">
        <x:v>采购与开发</x:v>
      </x:c>
      <x:c r="D59" s="23" t="str">
        <x:v>采购/供应链</x:v>
      </x:c>
      <x:c r="E59" s="23" t="str">
        <x:v>采购 / 采购申请</x:v>
      </x:c>
      <x:c r="F59" s="23" t="str">
        <x:v>1、项目经理发起申请
2、材料：采购详细需求（品牌、型号、规格、渠道或链接、到货时间、必要情况下推荐供应商）</x:v>
      </x:c>
      <x:c r="G59" s="23" t="str">
        <x:v>EXCEL</x:v>
      </x:c>
      <x:c r="H59" s="23" t="str">
        <x:v>SU-13</x:v>
      </x:c>
      <x:c r="I59" s="23" t="str">
        <x:v>采购申请与执行</x:v>
      </x:c>
      <x:c r="J59" s="23" t="str">
        <x:v>采购 / 采购申请</x:v>
      </x:c>
      <x:c r="K59" s="23" t="str">
        <x:v>流程控制节点</x:v>
      </x:c>
      <x:c r="L59" s="23" t="str">
        <x:v>保持独立控制节点</x:v>
      </x:c>
      <x:c r="M59" s="23" t="str">
        <x:v>独立保留申请/审批/结论</x:v>
      </x:c>
      <x:c r="N59" s="23" t="str">
        <x:v>项目经理</x:v>
      </x:c>
      <x:c r="O59" s="23" t="str">
        <x:v>审批方</x:v>
      </x:c>
      <x:c r="P59" s="23" t="str">
        <x:v>待确认</x:v>
      </x:c>
      <x:c r="Q59" s="23" t="str">
        <x:v>需制度补强：责任、审核、成果物或例外口径未明确</x:v>
      </x:c>
    </x:row>
    <x:row r="60" ht="52.5" customHeight="1">
      <x:c r="A60" s="23" t="str">
        <x:v>PMO-039</x:v>
      </x:c>
      <x:c r="B60" s="23" t="str">
        <x:v>PMO原始</x:v>
      </x:c>
      <x:c r="C60" s="23" t="str">
        <x:v>采购与开发</x:v>
      </x:c>
      <x:c r="D60" s="23" t="str">
        <x:v>采购/供应链</x:v>
      </x:c>
      <x:c r="E60" s="23" t="str">
        <x:v>采购 / 采购执行</x:v>
      </x:c>
      <x:c r="F60" s="23" t="str">
        <x:v>1、采购、分包招采流程
2、合同签订、归档等
3、预计到货时间反馈
4、供销存台账维护</x:v>
      </x:c>
      <x:c r="G60" s="23" t="str">
        <x:v>EXCEL等</x:v>
      </x:c>
      <x:c r="H60" s="23" t="str">
        <x:v>SU-13</x:v>
      </x:c>
      <x:c r="I60" s="23" t="str">
        <x:v>采购申请与执行</x:v>
      </x:c>
      <x:c r="J60" s="23" t="str">
        <x:v>采购 / 采购执行</x:v>
      </x:c>
      <x:c r="K60" s="23" t="str">
        <x:v>工作包任务</x:v>
      </x:c>
      <x:c r="L60" s="23" t="str">
        <x:v>共用工作包任务模板</x:v>
      </x:c>
      <x:c r="M60" s="23" t="str">
        <x:v>按工作包留交付成果和状态</x:v>
      </x:c>
      <x:c r="N60" s="23" t="str">
        <x:v>采购</x:v>
      </x:c>
      <x:c r="O60" s="23" t="str">
        <x:v>项目经理</x:v>
      </x:c>
      <x:c r="P60" s="23" t="str">
        <x:v>初步归并</x:v>
      </x:c>
      <x:c r="Q60" s="23" t="str"/>
    </x:row>
    <x:row r="61" ht="42" customHeight="1">
      <x:c r="A61" s="23" t="str">
        <x:v>PMO-040</x:v>
      </x:c>
      <x:c r="B61" s="23" t="str">
        <x:v>PMO原始</x:v>
      </x:c>
      <x:c r="C61" s="23" t="str">
        <x:v>采购与开发</x:v>
      </x:c>
      <x:c r="D61" s="23" t="str">
        <x:v>算法</x:v>
      </x:c>
      <x:c r="E61" s="23" t="str">
        <x:v>开发 / 开发管理</x:v>
      </x:c>
      <x:c r="F61" s="23" t="str">
        <x:v>1、文档编制：控制逻辑等
2、程序归档：周更新程序
3、进度管理：周更新开发进度</x:v>
      </x:c>
      <x:c r="G61" s="23" t="str">
        <x:v>WORD、VISIO、EXCEL
程序</x:v>
      </x:c>
      <x:c r="H61" s="23" t="str">
        <x:v>SU-14</x:v>
      </x:c>
      <x:c r="I61" s="23" t="str">
        <x:v>开发、软件测试与FAT</x:v>
      </x:c>
      <x:c r="J61" s="23" t="str">
        <x:v>开发 / 开发管理</x:v>
      </x:c>
      <x:c r="K61" s="23" t="str">
        <x:v>工作包任务</x:v>
      </x:c>
      <x:c r="L61" s="23" t="str">
        <x:v>共用工作包任务模板</x:v>
      </x:c>
      <x:c r="M61" s="23" t="str">
        <x:v>按工作包留交付成果和状态</x:v>
      </x:c>
      <x:c r="N61" s="23" t="str">
        <x:v>产研牵头、事业部配合</x:v>
      </x:c>
      <x:c r="O61" s="23" t="str">
        <x:v>项目经理、技术经理</x:v>
      </x:c>
      <x:c r="P61" s="23" t="str">
        <x:v>初步归并</x:v>
      </x:c>
      <x:c r="Q61" s="23" t="str"/>
    </x:row>
    <x:row r="62" ht="52.5" customHeight="1">
      <x:c r="A62" s="23" t="str">
        <x:v>PMO-041</x:v>
      </x:c>
      <x:c r="B62" s="23" t="str">
        <x:v>PMO原始</x:v>
      </x:c>
      <x:c r="C62" s="23" t="str">
        <x:v>到货与测试</x:v>
      </x:c>
      <x:c r="D62" s="23" t="str">
        <x:v>PLC/电控</x:v>
      </x:c>
      <x:c r="E62" s="23" t="str">
        <x:v>到货 / 到货验收</x:v>
      </x:c>
      <x:c r="F62" s="23" t="str">
        <x:v>1、电控质检资料（自己定义检查项，检测内容、和标准）
2、机械质检资料（自己定义检查项，检测内容、和标准）
3、验收报告</x:v>
      </x:c>
      <x:c r="G62" s="23" t="str">
        <x:v>EXCEL、照片、PDF等</x:v>
      </x:c>
      <x:c r="H62" s="23" t="str">
        <x:v>SU-15</x:v>
      </x:c>
      <x:c r="I62" s="23" t="str">
        <x:v>到货验收与质量记录</x:v>
      </x:c>
      <x:c r="J62" s="23" t="str">
        <x:v>到货 / 到货验收</x:v>
      </x:c>
      <x:c r="K62" s="23" t="str">
        <x:v>检查/执行任务</x:v>
      </x:c>
      <x:c r="L62" s="23" t="str">
        <x:v>共用模板，按场景实例化</x:v>
      </x:c>
      <x:c r="M62" s="23" t="str">
        <x:v>按任务实例留结果和附件</x:v>
      </x:c>
      <x:c r="N62" s="23" t="str">
        <x:v>事业部牵头、产研配合</x:v>
      </x:c>
      <x:c r="O62" s="23" t="str">
        <x:v>项目经理、技术经理</x:v>
      </x:c>
      <x:c r="P62" s="23" t="str">
        <x:v>初步归并</x:v>
      </x:c>
      <x:c r="Q62" s="23" t="str"/>
    </x:row>
    <x:row r="63" ht="42" customHeight="1">
      <x:c r="A63" s="23" t="str">
        <x:v>PMO-042</x:v>
      </x:c>
      <x:c r="B63" s="23" t="str">
        <x:v>PMO原始</x:v>
      </x:c>
      <x:c r="C63" s="23" t="str">
        <x:v>到货与测试</x:v>
      </x:c>
      <x:c r="D63" s="23" t="str">
        <x:v>通用软件</x:v>
      </x:c>
      <x:c r="E63" s="23" t="str">
        <x:v>测试 / 软件测试</x:v>
      </x:c>
      <x:c r="F63" s="23" t="str">
        <x:v>1、测试准备：测试用例、工具、人员、联调时间等，模板，可以直接打印
2、测试结果：测试报告（含安全测试项）</x:v>
      </x:c>
      <x:c r="G63" s="23" t="str">
        <x:v>EXCEL</x:v>
      </x:c>
      <x:c r="H63" s="23" t="str">
        <x:v>SU-14</x:v>
      </x:c>
      <x:c r="I63" s="23" t="str">
        <x:v>开发、软件测试与FAT</x:v>
      </x:c>
      <x:c r="J63" s="23" t="str">
        <x:v>测试 / 软件测试</x:v>
      </x:c>
      <x:c r="K63" s="23" t="str">
        <x:v>工作包任务</x:v>
      </x:c>
      <x:c r="L63" s="23" t="str">
        <x:v>共用工作包任务模板</x:v>
      </x:c>
      <x:c r="M63" s="23" t="str">
        <x:v>按工作包留交付成果和状态</x:v>
      </x:c>
      <x:c r="N63" s="23" t="str">
        <x:v>产研牵头、事业部配合</x:v>
      </x:c>
      <x:c r="O63" s="23" t="str">
        <x:v>项目经理、技术经理</x:v>
      </x:c>
      <x:c r="P63" s="23" t="str">
        <x:v>初步归并</x:v>
      </x:c>
      <x:c r="Q63" s="23" t="str"/>
    </x:row>
    <x:row r="64" ht="42" customHeight="1">
      <x:c r="A64" s="23" t="str">
        <x:v>PMO-043</x:v>
      </x:c>
      <x:c r="B64" s="23" t="str">
        <x:v>PMO原始</x:v>
      </x:c>
      <x:c r="C64" s="23" t="str">
        <x:v>到货与测试</x:v>
      </x:c>
      <x:c r="D64" s="23" t="str">
        <x:v>通用软件</x:v>
      </x:c>
      <x:c r="E64" s="23" t="str">
        <x:v>测试 / FAT测试</x:v>
      </x:c>
      <x:c r="F64" s="23" t="str">
        <x:v>1、测试准备：测试用例、工具、人员、联调时间等，模板，可以直接打印
2、测试结果：FAT测试报告（含安全测试项）</x:v>
      </x:c>
      <x:c r="G64" s="23" t="str">
        <x:v>EXCEL、照片、PDF等</x:v>
      </x:c>
      <x:c r="H64" s="23" t="str">
        <x:v>SU-14</x:v>
      </x:c>
      <x:c r="I64" s="23" t="str">
        <x:v>开发、软件测试与FAT</x:v>
      </x:c>
      <x:c r="J64" s="23" t="str">
        <x:v>测试 / FAT测试</x:v>
      </x:c>
      <x:c r="K64" s="23" t="str">
        <x:v>工作包任务</x:v>
      </x:c>
      <x:c r="L64" s="23" t="str">
        <x:v>共用工作包任务模板</x:v>
      </x:c>
      <x:c r="M64" s="23" t="str">
        <x:v>按工作包留交付成果和状态</x:v>
      </x:c>
      <x:c r="N64" s="23" t="str">
        <x:v>产研牵头、事业部配合</x:v>
      </x:c>
      <x:c r="O64" s="23" t="str">
        <x:v>项目经理、技术经理</x:v>
      </x:c>
      <x:c r="P64" s="23" t="str">
        <x:v>初步归并</x:v>
      </x:c>
      <x:c r="Q64" s="23" t="str"/>
    </x:row>
    <x:row r="65" ht="31.5" customHeight="1">
      <x:c r="A65" s="23" t="str">
        <x:v>PMO-044</x:v>
      </x:c>
      <x:c r="B65" s="23" t="str">
        <x:v>PMO原始</x:v>
      </x:c>
      <x:c r="C65" s="23" t="str">
        <x:v>安装与配置</x:v>
      </x:c>
      <x:c r="D65" s="23" t="str">
        <x:v>机械</x:v>
      </x:c>
      <x:c r="E65" s="23" t="str">
        <x:v>安装及配置 / 准备工作清单</x:v>
      </x:c>
      <x:c r="F65" s="23" t="str">
        <x:v>准备工作清单：安装前调试、调试手册、调试记录、工具等</x:v>
      </x:c>
      <x:c r="G65" s="23" t="str">
        <x:v>EXCEL</x:v>
      </x:c>
      <x:c r="H65" s="23" t="str">
        <x:v>SU-16</x:v>
      </x:c>
      <x:c r="I65" s="23" t="str">
        <x:v>安装、配置与调试就绪</x:v>
      </x:c>
      <x:c r="J65" s="23" t="str">
        <x:v>安装及配置 / 准备工作清单</x:v>
      </x:c>
      <x:c r="K65" s="23" t="str">
        <x:v>检查/执行任务</x:v>
      </x:c>
      <x:c r="L65" s="23" t="str">
        <x:v>共用模板，按场景实例化</x:v>
      </x:c>
      <x:c r="M65" s="23" t="str">
        <x:v>按任务实例留结果和附件</x:v>
      </x:c>
      <x:c r="N65" s="23" t="str">
        <x:v>事业部牵头、产研配合</x:v>
      </x:c>
      <x:c r="O65" s="23" t="str">
        <x:v>事业部</x:v>
      </x:c>
      <x:c r="P65" s="23" t="str">
        <x:v>初步归并</x:v>
      </x:c>
      <x:c r="Q65" s="23" t="str"/>
    </x:row>
    <x:row r="66" ht="31.5" customHeight="1">
      <x:c r="A66" s="23" t="str">
        <x:v>PMO-045</x:v>
      </x:c>
      <x:c r="B66" s="23" t="str">
        <x:v>PMO原始</x:v>
      </x:c>
      <x:c r="C66" s="23" t="str">
        <x:v>安装与配置</x:v>
      </x:c>
      <x:c r="D66" s="23" t="str">
        <x:v>机械</x:v>
      </x:c>
      <x:c r="E66" s="23" t="str">
        <x:v>安装及配置 / 安全培训</x:v>
      </x:c>
      <x:c r="F66" s="23" t="str">
        <x:v>安全管理：保险、内部培训、外部培训，留痕</x:v>
      </x:c>
      <x:c r="G66" s="23" t="str">
        <x:v>EXCEL、PDF</x:v>
      </x:c>
      <x:c r="H66" s="23" t="str">
        <x:v>SU-16</x:v>
      </x:c>
      <x:c r="I66" s="23" t="str">
        <x:v>安装、配置与调试就绪</x:v>
      </x:c>
      <x:c r="J66" s="23" t="str">
        <x:v>安装及配置 / 安全培训</x:v>
      </x:c>
      <x:c r="K66" s="23" t="str">
        <x:v>检查/执行任务</x:v>
      </x:c>
      <x:c r="L66" s="23" t="str">
        <x:v>共用模板，按场景实例化</x:v>
      </x:c>
      <x:c r="M66" s="23" t="str">
        <x:v>按任务实例留结果和附件</x:v>
      </x:c>
      <x:c r="N66" s="23" t="str">
        <x:v>事业部牵头、产研配合</x:v>
      </x:c>
      <x:c r="O66" s="23" t="str">
        <x:v>事业部</x:v>
      </x:c>
      <x:c r="P66" s="23" t="str">
        <x:v>初步归并</x:v>
      </x:c>
      <x:c r="Q66" s="23" t="str"/>
    </x:row>
    <x:row r="67" ht="42" customHeight="1">
      <x:c r="A67" s="23" t="str">
        <x:v>PMO-046</x:v>
      </x:c>
      <x:c r="B67" s="23" t="str">
        <x:v>PMO原始</x:v>
      </x:c>
      <x:c r="C67" s="23" t="str">
        <x:v>安装与配置</x:v>
      </x:c>
      <x:c r="D67" s="23" t="str">
        <x:v>机械</x:v>
      </x:c>
      <x:c r="E67" s="23" t="str">
        <x:v>安装及配置 / 通电通网、设备配置</x:v>
      </x:c>
      <x:c r="F67" s="23" t="str">
        <x:v>1、进度周更新
2、安装完成后，拍照安装实物照片，更新安装手册</x:v>
      </x:c>
      <x:c r="G67" s="23" t="str">
        <x:v>EXCEL</x:v>
      </x:c>
      <x:c r="H67" s="23" t="str">
        <x:v>SU-16</x:v>
      </x:c>
      <x:c r="I67" s="23" t="str">
        <x:v>安装、配置与调试就绪</x:v>
      </x:c>
      <x:c r="J67" s="23" t="str">
        <x:v>安装及配置 / 通电通网、设备配置</x:v>
      </x:c>
      <x:c r="K67" s="23" t="str">
        <x:v>检查/执行任务</x:v>
      </x:c>
      <x:c r="L67" s="23" t="str">
        <x:v>共用模板，按场景实例化</x:v>
      </x:c>
      <x:c r="M67" s="23" t="str">
        <x:v>按任务实例留结果和附件</x:v>
      </x:c>
      <x:c r="N67" s="23" t="str">
        <x:v>事业部牵头、产研配合</x:v>
      </x:c>
      <x:c r="O67" s="23" t="str">
        <x:v>事业部</x:v>
      </x:c>
      <x:c r="P67" s="23" t="str">
        <x:v>初步归并</x:v>
      </x:c>
      <x:c r="Q67" s="23" t="str"/>
    </x:row>
    <x:row r="68" ht="31.5" customHeight="1">
      <x:c r="A68" s="23" t="str">
        <x:v>PMO-047</x:v>
      </x:c>
      <x:c r="B68" s="23" t="str">
        <x:v>PMO原始</x:v>
      </x:c>
      <x:c r="C68" s="23" t="str">
        <x:v>调试与试运行</x:v>
      </x:c>
      <x:c r="D68" s="23" t="str">
        <x:v>安装调试/ECS</x:v>
      </x:c>
      <x:c r="E68" s="23" t="str">
        <x:v>远程手动 / 准备工作清单</x:v>
      </x:c>
      <x:c r="F68" s="23" t="str">
        <x:v>准备工作清单：前置条件、测试样例、场地时间人员需求、调试记录单等</x:v>
      </x:c>
      <x:c r="G68" s="23" t="str">
        <x:v>EXCEL</x:v>
      </x:c>
      <x:c r="H68" s="23" t="str">
        <x:v>SU-17</x:v>
      </x:c>
      <x:c r="I68" s="23" t="str">
        <x:v>分级调试与验证</x:v>
      </x:c>
      <x:c r="J68" s="23" t="str">
        <x:v>远程手动 / 准备工作清单</x:v>
      </x:c>
      <x:c r="K68" s="23" t="str">
        <x:v>检查/执行任务</x:v>
      </x:c>
      <x:c r="L68" s="23" t="str">
        <x:v>共用模板，按场景实例化</x:v>
      </x:c>
      <x:c r="M68" s="23" t="str">
        <x:v>按任务实例留结果和附件</x:v>
      </x:c>
      <x:c r="N68" s="23" t="str">
        <x:v>事业部牵头、产研配合</x:v>
      </x:c>
      <x:c r="O68" s="23" t="str">
        <x:v>事业部</x:v>
      </x:c>
      <x:c r="P68" s="23" t="str">
        <x:v>初步归并</x:v>
      </x:c>
      <x:c r="Q68" s="23" t="str"/>
    </x:row>
    <x:row r="69" ht="31.5" customHeight="1">
      <x:c r="A69" s="23" t="str">
        <x:v>PMO-048</x:v>
      </x:c>
      <x:c r="B69" s="23" t="str">
        <x:v>PMO原始</x:v>
      </x:c>
      <x:c r="C69" s="23" t="str">
        <x:v>调试与试运行</x:v>
      </x:c>
      <x:c r="D69" s="23" t="str">
        <x:v>安全</x:v>
      </x:c>
      <x:c r="E69" s="23" t="str">
        <x:v>远程手动 / 安全培训</x:v>
      </x:c>
      <x:c r="F69" s="23" t="str">
        <x:v>安全培训确认单：培训内容、签字确认</x:v>
      </x:c>
      <x:c r="G69" s="23" t="str">
        <x:v>EXCEL、PDF</x:v>
      </x:c>
      <x:c r="H69" s="23" t="str">
        <x:v>SU-17</x:v>
      </x:c>
      <x:c r="I69" s="23" t="str">
        <x:v>分级调试与验证</x:v>
      </x:c>
      <x:c r="J69" s="23" t="str">
        <x:v>远程手动 / 安全培训</x:v>
      </x:c>
      <x:c r="K69" s="23" t="str">
        <x:v>检查/执行任务</x:v>
      </x:c>
      <x:c r="L69" s="23" t="str">
        <x:v>共用模板，按场景实例化</x:v>
      </x:c>
      <x:c r="M69" s="23" t="str">
        <x:v>按任务实例留结果和附件</x:v>
      </x:c>
      <x:c r="N69" s="23" t="str">
        <x:v>事业部牵头、产研配合</x:v>
      </x:c>
      <x:c r="O69" s="23" t="str">
        <x:v>事业部</x:v>
      </x:c>
      <x:c r="P69" s="23" t="str">
        <x:v>初步归并</x:v>
      </x:c>
      <x:c r="Q69" s="23" t="str"/>
    </x:row>
    <x:row r="70" ht="31.5" customHeight="1">
      <x:c r="A70" s="23" t="str">
        <x:v>PMO-049</x:v>
      </x:c>
      <x:c r="B70" s="23" t="str">
        <x:v>PMO原始</x:v>
      </x:c>
      <x:c r="C70" s="23" t="str">
        <x:v>调试与试运行</x:v>
      </x:c>
      <x:c r="D70" s="23" t="str">
        <x:v>通用软件</x:v>
      </x:c>
      <x:c r="E70" s="23" t="str">
        <x:v>远程手动 / 空重载调试</x:v>
      </x:c>
      <x:c r="F70" s="23" t="str">
        <x:v>空重载调试记录单</x:v>
      </x:c>
      <x:c r="G70" s="23" t="str">
        <x:v>EXCEL</x:v>
      </x:c>
      <x:c r="H70" s="23" t="str">
        <x:v>SU-17</x:v>
      </x:c>
      <x:c r="I70" s="23" t="str">
        <x:v>分级调试与验证</x:v>
      </x:c>
      <x:c r="J70" s="23" t="str">
        <x:v>远程手动 / 空重载调试</x:v>
      </x:c>
      <x:c r="K70" s="23" t="str">
        <x:v>检查/执行任务</x:v>
      </x:c>
      <x:c r="L70" s="23" t="str">
        <x:v>共用模板，按场景实例化</x:v>
      </x:c>
      <x:c r="M70" s="23" t="str">
        <x:v>按任务实例留结果和附件</x:v>
      </x:c>
      <x:c r="N70" s="23" t="str">
        <x:v>事业部牵头、产研配合</x:v>
      </x:c>
      <x:c r="O70" s="23" t="str">
        <x:v>事业部</x:v>
      </x:c>
      <x:c r="P70" s="23" t="str">
        <x:v>初步归并</x:v>
      </x:c>
      <x:c r="Q70" s="23" t="str"/>
    </x:row>
    <x:row r="71" ht="31.5" customHeight="1">
      <x:c r="A71" s="23" t="str">
        <x:v>PMO-050</x:v>
      </x:c>
      <x:c r="B71" s="23" t="str">
        <x:v>PMO原始</x:v>
      </x:c>
      <x:c r="C71" s="23" t="str">
        <x:v>调试与试运行</x:v>
      </x:c>
      <x:c r="D71" s="23" t="str">
        <x:v>安装调试/ECS</x:v>
      </x:c>
      <x:c r="E71" s="23" t="str">
        <x:v>远程半自动 / 准备工作清单</x:v>
      </x:c>
      <x:c r="F71" s="23" t="str">
        <x:v>准备工作清单：前置条件、测试样例、场地时间人员需求、调试记录单等</x:v>
      </x:c>
      <x:c r="G71" s="23" t="str">
        <x:v>EXCEL</x:v>
      </x:c>
      <x:c r="H71" s="23" t="str">
        <x:v>SU-17</x:v>
      </x:c>
      <x:c r="I71" s="23" t="str">
        <x:v>分级调试与验证</x:v>
      </x:c>
      <x:c r="J71" s="23" t="str">
        <x:v>远程半自动 / 准备工作清单</x:v>
      </x:c>
      <x:c r="K71" s="23" t="str">
        <x:v>检查/执行任务</x:v>
      </x:c>
      <x:c r="L71" s="23" t="str">
        <x:v>共用模板，按场景实例化</x:v>
      </x:c>
      <x:c r="M71" s="23" t="str">
        <x:v>按任务实例留结果和附件</x:v>
      </x:c>
      <x:c r="N71" s="23" t="str">
        <x:v>事业部牵头、产研配合</x:v>
      </x:c>
      <x:c r="O71" s="23" t="str">
        <x:v>事业部</x:v>
      </x:c>
      <x:c r="P71" s="23" t="str">
        <x:v>初步归并</x:v>
      </x:c>
      <x:c r="Q71" s="23" t="str"/>
    </x:row>
    <x:row r="72" ht="31.5" customHeight="1">
      <x:c r="A72" s="23" t="str">
        <x:v>PMO-051</x:v>
      </x:c>
      <x:c r="B72" s="23" t="str">
        <x:v>PMO原始</x:v>
      </x:c>
      <x:c r="C72" s="23" t="str">
        <x:v>调试与试运行</x:v>
      </x:c>
      <x:c r="D72" s="23" t="str">
        <x:v>安全</x:v>
      </x:c>
      <x:c r="E72" s="23" t="str">
        <x:v>远程半自动 / 安全培训</x:v>
      </x:c>
      <x:c r="F72" s="23" t="str">
        <x:v>安全培训确认单：培训内容、签字确认</x:v>
      </x:c>
      <x:c r="G72" s="23" t="str">
        <x:v>EXCEL、PDF</x:v>
      </x:c>
      <x:c r="H72" s="23" t="str">
        <x:v>SU-17</x:v>
      </x:c>
      <x:c r="I72" s="23" t="str">
        <x:v>分级调试与验证</x:v>
      </x:c>
      <x:c r="J72" s="23" t="str">
        <x:v>远程半自动 / 安全培训</x:v>
      </x:c>
      <x:c r="K72" s="23" t="str">
        <x:v>检查/执行任务</x:v>
      </x:c>
      <x:c r="L72" s="23" t="str">
        <x:v>共用模板，按场景实例化</x:v>
      </x:c>
      <x:c r="M72" s="23" t="str">
        <x:v>按任务实例留结果和附件</x:v>
      </x:c>
      <x:c r="N72" s="23" t="str">
        <x:v>事业部牵头、产研配合</x:v>
      </x:c>
      <x:c r="O72" s="23" t="str">
        <x:v>事业部</x:v>
      </x:c>
      <x:c r="P72" s="23" t="str">
        <x:v>初步归并</x:v>
      </x:c>
      <x:c r="Q72" s="23" t="str"/>
    </x:row>
    <x:row r="73" ht="31.5" customHeight="1">
      <x:c r="A73" s="23" t="str">
        <x:v>PMO-052</x:v>
      </x:c>
      <x:c r="B73" s="23" t="str">
        <x:v>PMO原始</x:v>
      </x:c>
      <x:c r="C73" s="23" t="str">
        <x:v>调试与试运行</x:v>
      </x:c>
      <x:c r="D73" s="23" t="str">
        <x:v>安装调试/ECS</x:v>
      </x:c>
      <x:c r="E73" s="23" t="str">
        <x:v>远程半自动 / 空重载调试</x:v>
      </x:c>
      <x:c r="F73" s="23" t="str">
        <x:v>空重载调试记录单</x:v>
      </x:c>
      <x:c r="G73" s="23" t="str">
        <x:v>EXCEL</x:v>
      </x:c>
      <x:c r="H73" s="23" t="str">
        <x:v>SU-17</x:v>
      </x:c>
      <x:c r="I73" s="23" t="str">
        <x:v>分级调试与验证</x:v>
      </x:c>
      <x:c r="J73" s="23" t="str">
        <x:v>远程半自动 / 空重载调试</x:v>
      </x:c>
      <x:c r="K73" s="23" t="str">
        <x:v>检查/执行任务</x:v>
      </x:c>
      <x:c r="L73" s="23" t="str">
        <x:v>共用模板，按场景实例化</x:v>
      </x:c>
      <x:c r="M73" s="23" t="str">
        <x:v>按任务实例留结果和附件</x:v>
      </x:c>
      <x:c r="N73" s="23" t="str">
        <x:v>事业部牵头、产研配合</x:v>
      </x:c>
      <x:c r="O73" s="23" t="str">
        <x:v>事业部</x:v>
      </x:c>
      <x:c r="P73" s="23" t="str">
        <x:v>初步归并</x:v>
      </x:c>
      <x:c r="Q73" s="23" t="str"/>
    </x:row>
    <x:row r="74" ht="31.5" customHeight="1">
      <x:c r="A74" s="23" t="str">
        <x:v>PMO-053</x:v>
      </x:c>
      <x:c r="B74" s="23" t="str">
        <x:v>PMO原始</x:v>
      </x:c>
      <x:c r="C74" s="23" t="str">
        <x:v>调试与试运行</x:v>
      </x:c>
      <x:c r="D74" s="23" t="str">
        <x:v>安装调试/ECS</x:v>
      </x:c>
      <x:c r="E74" s="23" t="str">
        <x:v>远程自动 / 准备工作清单</x:v>
      </x:c>
      <x:c r="F74" s="23" t="str">
        <x:v>准备工作清单：前置条件、测试样例、场地时间人员需求、调试记录单等</x:v>
      </x:c>
      <x:c r="G74" s="23" t="str">
        <x:v>EXCEL</x:v>
      </x:c>
      <x:c r="H74" s="23" t="str">
        <x:v>SU-17</x:v>
      </x:c>
      <x:c r="I74" s="23" t="str">
        <x:v>分级调试与验证</x:v>
      </x:c>
      <x:c r="J74" s="23" t="str">
        <x:v>远程自动 / 准备工作清单</x:v>
      </x:c>
      <x:c r="K74" s="23" t="str">
        <x:v>检查/执行任务</x:v>
      </x:c>
      <x:c r="L74" s="23" t="str">
        <x:v>共用模板，按场景实例化</x:v>
      </x:c>
      <x:c r="M74" s="23" t="str">
        <x:v>按任务实例留结果和附件</x:v>
      </x:c>
      <x:c r="N74" s="23" t="str">
        <x:v>事业部牵头、产研配合</x:v>
      </x:c>
      <x:c r="O74" s="23" t="str">
        <x:v>事业部</x:v>
      </x:c>
      <x:c r="P74" s="23" t="str">
        <x:v>初步归并</x:v>
      </x:c>
      <x:c r="Q74" s="23" t="str"/>
    </x:row>
    <x:row r="75" ht="31.5" customHeight="1">
      <x:c r="A75" s="23" t="str">
        <x:v>PMO-054</x:v>
      </x:c>
      <x:c r="B75" s="23" t="str">
        <x:v>PMO原始</x:v>
      </x:c>
      <x:c r="C75" s="23" t="str">
        <x:v>调试与试运行</x:v>
      </x:c>
      <x:c r="D75" s="23" t="str">
        <x:v>安全</x:v>
      </x:c>
      <x:c r="E75" s="23" t="str">
        <x:v>远程自动 / 安全培训</x:v>
      </x:c>
      <x:c r="F75" s="23" t="str">
        <x:v>安全培训确认单：培训内容、签字确认</x:v>
      </x:c>
      <x:c r="G75" s="23" t="str">
        <x:v>EXCEL、PDF</x:v>
      </x:c>
      <x:c r="H75" s="23" t="str">
        <x:v>SU-17</x:v>
      </x:c>
      <x:c r="I75" s="23" t="str">
        <x:v>分级调试与验证</x:v>
      </x:c>
      <x:c r="J75" s="23" t="str">
        <x:v>远程自动 / 安全培训</x:v>
      </x:c>
      <x:c r="K75" s="23" t="str">
        <x:v>检查/执行任务</x:v>
      </x:c>
      <x:c r="L75" s="23" t="str">
        <x:v>共用模板，按场景实例化</x:v>
      </x:c>
      <x:c r="M75" s="23" t="str">
        <x:v>按任务实例留结果和附件</x:v>
      </x:c>
      <x:c r="N75" s="23" t="str">
        <x:v>事业部牵头、产研配合</x:v>
      </x:c>
      <x:c r="O75" s="23" t="str">
        <x:v>事业部</x:v>
      </x:c>
      <x:c r="P75" s="23" t="str">
        <x:v>初步归并</x:v>
      </x:c>
      <x:c r="Q75" s="23" t="str"/>
    </x:row>
    <x:row r="76" ht="31.5" customHeight="1">
      <x:c r="A76" s="23" t="str">
        <x:v>PMO-055</x:v>
      </x:c>
      <x:c r="B76" s="23" t="str">
        <x:v>PMO原始</x:v>
      </x:c>
      <x:c r="C76" s="23" t="str">
        <x:v>调试与试运行</x:v>
      </x:c>
      <x:c r="D76" s="23" t="str">
        <x:v>安装调试/ECS</x:v>
      </x:c>
      <x:c r="E76" s="23" t="str">
        <x:v>远程自动 / 空重载调试</x:v>
      </x:c>
      <x:c r="F76" s="23" t="str">
        <x:v>空重载调试记录单</x:v>
      </x:c>
      <x:c r="G76" s="23" t="str">
        <x:v>EXCEL</x:v>
      </x:c>
      <x:c r="H76" s="23" t="str">
        <x:v>SU-17</x:v>
      </x:c>
      <x:c r="I76" s="23" t="str">
        <x:v>分级调试与验证</x:v>
      </x:c>
      <x:c r="J76" s="23" t="str">
        <x:v>远程自动 / 空重载调试</x:v>
      </x:c>
      <x:c r="K76" s="23" t="str">
        <x:v>检查/执行任务</x:v>
      </x:c>
      <x:c r="L76" s="23" t="str">
        <x:v>共用模板，按场景实例化</x:v>
      </x:c>
      <x:c r="M76" s="23" t="str">
        <x:v>按任务实例留结果和附件</x:v>
      </x:c>
      <x:c r="N76" s="23" t="str">
        <x:v>事业部牵头、产研配合</x:v>
      </x:c>
      <x:c r="O76" s="23" t="str">
        <x:v>事业部</x:v>
      </x:c>
      <x:c r="P76" s="23" t="str">
        <x:v>初步归并</x:v>
      </x:c>
      <x:c r="Q76" s="23" t="str"/>
    </x:row>
    <x:row r="77" ht="31.5" customHeight="1">
      <x:c r="A77" s="23" t="str">
        <x:v>PMO-056</x:v>
      </x:c>
      <x:c r="B77" s="23" t="str">
        <x:v>PMO原始</x:v>
      </x:c>
      <x:c r="C77" s="23" t="str">
        <x:v>调试与试运行</x:v>
      </x:c>
      <x:c r="D77" s="23" t="str">
        <x:v>安装调试/ECS</x:v>
      </x:c>
      <x:c r="E77" s="23" t="str">
        <x:v>全流程ECS / 准备工作清单</x:v>
      </x:c>
      <x:c r="F77" s="23" t="str">
        <x:v>准备工作清单：前置条件、测试样例、场地时间人员需求、调试记录单等</x:v>
      </x:c>
      <x:c r="G77" s="23" t="str">
        <x:v>EXCEL</x:v>
      </x:c>
      <x:c r="H77" s="23" t="str">
        <x:v>SU-17</x:v>
      </x:c>
      <x:c r="I77" s="23" t="str">
        <x:v>分级调试与验证</x:v>
      </x:c>
      <x:c r="J77" s="23" t="str">
        <x:v>全流程ECS / 准备工作清单</x:v>
      </x:c>
      <x:c r="K77" s="23" t="str">
        <x:v>检查/执行任务</x:v>
      </x:c>
      <x:c r="L77" s="23" t="str">
        <x:v>共用模板，按场景实例化</x:v>
      </x:c>
      <x:c r="M77" s="23" t="str">
        <x:v>按任务实例留结果和附件</x:v>
      </x:c>
      <x:c r="N77" s="23" t="str">
        <x:v>事业部牵头、产研配合</x:v>
      </x:c>
      <x:c r="O77" s="23" t="str">
        <x:v>事业部</x:v>
      </x:c>
      <x:c r="P77" s="23" t="str">
        <x:v>初步归并</x:v>
      </x:c>
      <x:c r="Q77" s="23" t="str"/>
    </x:row>
    <x:row r="78" ht="31.5" customHeight="1">
      <x:c r="A78" s="23" t="str">
        <x:v>PMO-057</x:v>
      </x:c>
      <x:c r="B78" s="23" t="str">
        <x:v>PMO原始</x:v>
      </x:c>
      <x:c r="C78" s="23" t="str">
        <x:v>调试与试运行</x:v>
      </x:c>
      <x:c r="D78" s="23" t="str">
        <x:v>安全</x:v>
      </x:c>
      <x:c r="E78" s="23" t="str">
        <x:v>全流程ECS / 安全培训</x:v>
      </x:c>
      <x:c r="F78" s="23" t="str">
        <x:v>安全培训确认单：培训内容、签字确认</x:v>
      </x:c>
      <x:c r="G78" s="23" t="str">
        <x:v>EXCEL、PDF</x:v>
      </x:c>
      <x:c r="H78" s="23" t="str">
        <x:v>SU-17</x:v>
      </x:c>
      <x:c r="I78" s="23" t="str">
        <x:v>分级调试与验证</x:v>
      </x:c>
      <x:c r="J78" s="23" t="str">
        <x:v>全流程ECS / 安全培训</x:v>
      </x:c>
      <x:c r="K78" s="23" t="str">
        <x:v>检查/执行任务</x:v>
      </x:c>
      <x:c r="L78" s="23" t="str">
        <x:v>共用模板，按场景实例化</x:v>
      </x:c>
      <x:c r="M78" s="23" t="str">
        <x:v>按任务实例留结果和附件</x:v>
      </x:c>
      <x:c r="N78" s="23" t="str">
        <x:v>事业部牵头、产研配合</x:v>
      </x:c>
      <x:c r="O78" s="23" t="str">
        <x:v>事业部</x:v>
      </x:c>
      <x:c r="P78" s="23" t="str">
        <x:v>初步归并</x:v>
      </x:c>
      <x:c r="Q78" s="23" t="str"/>
    </x:row>
    <x:row r="79" ht="31.5" customHeight="1">
      <x:c r="A79" s="23" t="str">
        <x:v>PMO-058</x:v>
      </x:c>
      <x:c r="B79" s="23" t="str">
        <x:v>PMO原始</x:v>
      </x:c>
      <x:c r="C79" s="23" t="str">
        <x:v>调试与试运行</x:v>
      </x:c>
      <x:c r="D79" s="23" t="str">
        <x:v>PLC/电控</x:v>
      </x:c>
      <x:c r="E79" s="23" t="str">
        <x:v>全流程ECS / 联调记录</x:v>
      </x:c>
      <x:c r="F79" s="23" t="str">
        <x:v>联调记录单</x:v>
      </x:c>
      <x:c r="G79" s="23" t="str">
        <x:v>EXCEL</x:v>
      </x:c>
      <x:c r="H79" s="23" t="str">
        <x:v>SU-17</x:v>
      </x:c>
      <x:c r="I79" s="23" t="str">
        <x:v>分级调试与验证</x:v>
      </x:c>
      <x:c r="J79" s="23" t="str">
        <x:v>全流程ECS / 联调记录</x:v>
      </x:c>
      <x:c r="K79" s="23" t="str">
        <x:v>检查/执行任务</x:v>
      </x:c>
      <x:c r="L79" s="23" t="str">
        <x:v>共用模板，按场景实例化</x:v>
      </x:c>
      <x:c r="M79" s="23" t="str">
        <x:v>按任务实例留结果和附件</x:v>
      </x:c>
      <x:c r="N79" s="23" t="str">
        <x:v>事业部牵头、产研配合</x:v>
      </x:c>
      <x:c r="O79" s="23" t="str">
        <x:v>事业部</x:v>
      </x:c>
      <x:c r="P79" s="23" t="str">
        <x:v>初步归并</x:v>
      </x:c>
      <x:c r="Q79" s="23" t="str"/>
    </x:row>
    <x:row r="80" ht="42" customHeight="1">
      <x:c r="A80" s="23" t="str">
        <x:v>PMO-059</x:v>
      </x:c>
      <x:c r="B80" s="23" t="str">
        <x:v>PMO原始</x:v>
      </x:c>
      <x:c r="C80" s="23" t="str">
        <x:v>调试与试运行</x:v>
      </x:c>
      <x:c r="D80" s="23" t="str">
        <x:v>安全</x:v>
      </x:c>
      <x:c r="E80" s="23" t="str">
        <x:v>试运行 / 操作培训</x:v>
      </x:c>
      <x:c r="F80" s="23" t="str">
        <x:v>1、操作手册（编制+审核）
2、司机操作培训：包含安全操作，应急处置</x:v>
      </x:c>
      <x:c r="G80" s="23" t="str">
        <x:v>WORD、EXCEL</x:v>
      </x:c>
      <x:c r="H80" s="23" t="str">
        <x:v>SU-18</x:v>
      </x:c>
      <x:c r="I80" s="23" t="str">
        <x:v>操作培训与试运行</x:v>
      </x:c>
      <x:c r="J80" s="23" t="str">
        <x:v>试运行 / 操作培训</x:v>
      </x:c>
      <x:c r="K80" s="23" t="str">
        <x:v>检查/执行任务</x:v>
      </x:c>
      <x:c r="L80" s="23" t="str">
        <x:v>共用模板，按场景实例化</x:v>
      </x:c>
      <x:c r="M80" s="23" t="str">
        <x:v>按任务实例留结果和附件</x:v>
      </x:c>
      <x:c r="N80" s="23" t="str">
        <x:v>集成经理
调试工程师</x:v>
      </x:c>
      <x:c r="O80" s="23" t="str">
        <x:v>事业部</x:v>
      </x:c>
      <x:c r="P80" s="23" t="str">
        <x:v>初步归并</x:v>
      </x:c>
      <x:c r="Q80" s="23" t="str"/>
    </x:row>
    <x:row r="81" ht="31.5" customHeight="1">
      <x:c r="A81" s="23" t="str">
        <x:v>PMO-060</x:v>
      </x:c>
      <x:c r="B81" s="23" t="str">
        <x:v>PMO原始</x:v>
      </x:c>
      <x:c r="C81" s="23" t="str">
        <x:v>调试与试运行</x:v>
      </x:c>
      <x:c r="D81" s="23" t="str">
        <x:v>安装调试/ECS</x:v>
      </x:c>
      <x:c r="E81" s="23" t="str">
        <x:v>试运行 / 试运行报告</x:v>
      </x:c>
      <x:c r="F81" s="23" t="str">
        <x:v>包含试运行过程记录、效率对比和统计</x:v>
      </x:c>
      <x:c r="G81" s="23" t="str">
        <x:v>WORD、EXCEL</x:v>
      </x:c>
      <x:c r="H81" s="23" t="str">
        <x:v>SU-18</x:v>
      </x:c>
      <x:c r="I81" s="23" t="str">
        <x:v>操作培训与试运行</x:v>
      </x:c>
      <x:c r="J81" s="23" t="str">
        <x:v>试运行 / 试运行报告</x:v>
      </x:c>
      <x:c r="K81" s="23" t="str">
        <x:v>检查/执行任务</x:v>
      </x:c>
      <x:c r="L81" s="23" t="str">
        <x:v>共用模板，按场景实例化</x:v>
      </x:c>
      <x:c r="M81" s="23" t="str">
        <x:v>按任务实例留结果和附件</x:v>
      </x:c>
      <x:c r="N81" s="23" t="str">
        <x:v>集成经理
调试工程师</x:v>
      </x:c>
      <x:c r="O81" s="23" t="str">
        <x:v>事业部</x:v>
      </x:c>
      <x:c r="P81" s="23" t="str">
        <x:v>初步归并</x:v>
      </x:c>
      <x:c r="Q81" s="23" t="str"/>
    </x:row>
    <x:row r="82" ht="42" customHeight="1">
      <x:c r="A82" s="23" t="str">
        <x:v>PMO-061</x:v>
      </x:c>
      <x:c r="B82" s="23" t="str">
        <x:v>PMO原始</x:v>
      </x:c>
      <x:c r="C82" s="23" t="str">
        <x:v>验收与归档</x:v>
      </x:c>
      <x:c r="D82" s="23" t="str">
        <x:v>项目管理/维护</x:v>
      </x:c>
      <x:c r="E82" s="23" t="str">
        <x:v>验收 / 资料准备</x:v>
      </x:c>
      <x:c r="F82" s="23" t="str">
        <x:v>1、对外：项目验收资料，PPT、文档等
2、对内：归档资料
3、交接与离场</x:v>
      </x:c>
      <x:c r="G82" s="23" t="str">
        <x:v>PPT、PDF</x:v>
      </x:c>
      <x:c r="H82" s="23" t="str">
        <x:v>SU-19</x:v>
      </x:c>
      <x:c r="I82" s="23" t="str">
        <x:v>验收、归档与维护移交</x:v>
      </x:c>
      <x:c r="J82" s="23" t="str">
        <x:v>验收 / 资料准备</x:v>
      </x:c>
      <x:c r="K82" s="23" t="str">
        <x:v>资料包子项</x:v>
      </x:c>
      <x:c r="L82" s="23" t="str">
        <x:v>合并为资料包子项</x:v>
      </x:c>
      <x:c r="M82" s="23" t="str">
        <x:v>子项独立留文件版本</x:v>
      </x:c>
      <x:c r="N82" s="23" t="str">
        <x:v>集成经理</x:v>
      </x:c>
      <x:c r="O82" s="23" t="str">
        <x:v>事业部</x:v>
      </x:c>
      <x:c r="P82" s="23" t="str">
        <x:v>初步归并</x:v>
      </x:c>
      <x:c r="Q82" s="23" t="str"/>
    </x:row>
    <x:row r="83" ht="42" customHeight="1">
      <x:c r="A83" s="23" t="str">
        <x:v>PMO-062</x:v>
      </x:c>
      <x:c r="B83" s="23" t="str">
        <x:v>PMO原始</x:v>
      </x:c>
      <x:c r="C83" s="23" t="str">
        <x:v>验收与归档</x:v>
      </x:c>
      <x:c r="D83" s="23" t="str">
        <x:v>项目管理/综合</x:v>
      </x:c>
      <x:c r="E83" s="23" t="str">
        <x:v>验收 / 验收会</x:v>
      </x:c>
      <x:c r="F83" s="23" t="str">
        <x:v>1、会前准备
2、会议纪要
3、验收文件</x:v>
      </x:c>
      <x:c r="G83" s="23" t="str">
        <x:v>PPT、PDF</x:v>
      </x:c>
      <x:c r="H83" s="23" t="str">
        <x:v>SU-19</x:v>
      </x:c>
      <x:c r="I83" s="23" t="str">
        <x:v>验收、归档与维护移交</x:v>
      </x:c>
      <x:c r="J83" s="23" t="str">
        <x:v>验收 / 验收会</x:v>
      </x:c>
      <x:c r="K83" s="23" t="str">
        <x:v>流程控制节点</x:v>
      </x:c>
      <x:c r="L83" s="23" t="str">
        <x:v>保持独立控制节点</x:v>
      </x:c>
      <x:c r="M83" s="23" t="str">
        <x:v>独立保留申请/审批/结论</x:v>
      </x:c>
      <x:c r="N83" s="23" t="str">
        <x:v>集成经理</x:v>
      </x:c>
      <x:c r="O83" s="23" t="str">
        <x:v>事业部</x:v>
      </x:c>
      <x:c r="P83" s="23" t="str">
        <x:v>初步归并</x:v>
      </x:c>
      <x:c r="Q83" s="23" t="str"/>
    </x:row>
    <x:row r="84" ht="31.5" customHeight="1">
      <x:c r="A84" s="23" t="str">
        <x:v>GOV-025</x:v>
      </x:c>
      <x:c r="B84" s="23" t="str">
        <x:v>需求补充</x:v>
      </x:c>
      <x:c r="C84" s="23" t="str">
        <x:v>验收与归档</x:v>
      </x:c>
      <x:c r="D84" s="23" t="str">
        <x:v>项目管理/维护</x:v>
      </x:c>
      <x:c r="E84" s="23" t="str">
        <x:v>验收归档 / 归档完整性检查</x:v>
      </x:c>
      <x:c r="F84" s="23" t="str">
        <x:v>按项目模板检查必备成果、有效版本、审批和签字状态，缺项生成责任待办</x:v>
      </x:c>
      <x:c r="G84" s="23" t="str">
        <x:v>验收归档检查单</x:v>
      </x:c>
      <x:c r="H84" s="23" t="str">
        <x:v>SU-19</x:v>
      </x:c>
      <x:c r="I84" s="23" t="str">
        <x:v>验收、归档与维护移交</x:v>
      </x:c>
      <x:c r="J84" s="23" t="str">
        <x:v>验收归档 / 归档完整性检查</x:v>
      </x:c>
      <x:c r="K84" s="23" t="str">
        <x:v>自动规则/快照</x:v>
      </x:c>
      <x:c r="L84" s="23" t="str">
        <x:v>系统自动校验/生成</x:v>
      </x:c>
      <x:c r="M84" s="23" t="str">
        <x:v>保留系统校验/生成记录</x:v>
      </x:c>
      <x:c r="N84" s="23" t="str">
        <x:v>项目经理</x:v>
      </x:c>
      <x:c r="O84" s="23" t="str">
        <x:v>PMO/档案责任人</x:v>
      </x:c>
      <x:c r="P84" s="23" t="str">
        <x:v>初步归并</x:v>
      </x:c>
      <x:c r="Q84" s="23" t="str"/>
    </x:row>
    <x:row r="85" ht="31.5" customHeight="1">
      <x:c r="A85" s="23" t="str">
        <x:v>GOV-026</x:v>
      </x:c>
      <x:c r="B85" s="23" t="str">
        <x:v>需求补充</x:v>
      </x:c>
      <x:c r="C85" s="23" t="str">
        <x:v>验收与归档</x:v>
      </x:c>
      <x:c r="D85" s="23" t="str">
        <x:v>项目管理/维护</x:v>
      </x:c>
      <x:c r="E85" s="23" t="str">
        <x:v>验收归档 / 生成快照并同步NAS</x:v>
      </x:c>
      <x:c r="F85" s="23" t="str">
        <x:v>生成文件目录、版本、审批和校验信息组成的不可变快照，同步NAS并记录结果</x:v>
      </x:c>
      <x:c r="G85" s="23" t="str">
        <x:v>归档快照、清单和NAS移交记录</x:v>
      </x:c>
      <x:c r="H85" s="23" t="str">
        <x:v>SU-19</x:v>
      </x:c>
      <x:c r="I85" s="23" t="str">
        <x:v>验收、归档与维护移交</x:v>
      </x:c>
      <x:c r="J85" s="23" t="str">
        <x:v>验收归档 / 生成快照并同步NAS</x:v>
      </x:c>
      <x:c r="K85" s="23" t="str">
        <x:v>自动规则/快照</x:v>
      </x:c>
      <x:c r="L85" s="23" t="str">
        <x:v>系统自动校验/生成</x:v>
      </x:c>
      <x:c r="M85" s="23" t="str">
        <x:v>保留系统校验/生成记录</x:v>
      </x:c>
      <x:c r="N85" s="23" t="str">
        <x:v>项目经理/档案责任人</x:v>
      </x:c>
      <x:c r="O85" s="23" t="str">
        <x:v>PMO</x:v>
      </x:c>
      <x:c r="P85" s="23" t="str">
        <x:v>初步归并</x:v>
      </x:c>
      <x:c r="Q85" s="23" t="str"/>
    </x:row>
    <x:row r="86" ht="31.5" customHeight="1">
      <x:c r="A86" s="23" t="str">
        <x:v>GOV-031</x:v>
      </x:c>
      <x:c r="B86" s="23" t="str">
        <x:v>需求补充</x:v>
      </x:c>
      <x:c r="C86" s="23" t="str">
        <x:v>验收与归档</x:v>
      </x:c>
      <x:c r="D86" s="23" t="str">
        <x:v>项目管理/维护</x:v>
      </x:c>
      <x:c r="E86" s="23" t="str">
        <x:v>维护移交 / 建立维护责任</x:v>
      </x:c>
      <x:c r="F86" s="23" t="str">
        <x:v>确认质保范围、起止日期、联系人、维护手册、未结问题和备件安排</x:v>
      </x:c>
      <x:c r="G86" s="23" t="str">
        <x:v>维护移交单</x:v>
      </x:c>
      <x:c r="H86" s="23" t="str">
        <x:v>SU-19</x:v>
      </x:c>
      <x:c r="I86" s="23" t="str">
        <x:v>验收、归档与维护移交</x:v>
      </x:c>
      <x:c r="J86" s="23" t="str">
        <x:v>维护移交 / 建立维护责任</x:v>
      </x:c>
      <x:c r="K86" s="23" t="str">
        <x:v>流程控制节点</x:v>
      </x:c>
      <x:c r="L86" s="23" t="str">
        <x:v>保持独立控制节点</x:v>
      </x:c>
      <x:c r="M86" s="23" t="str">
        <x:v>独立保留申请/审批/结论</x:v>
      </x:c>
      <x:c r="N86" s="23" t="str">
        <x:v>项目经理</x:v>
      </x:c>
      <x:c r="O86" s="23" t="str">
        <x:v>维护负责人/PMO</x:v>
      </x:c>
      <x:c r="P86" s="23" t="str">
        <x:v>初步归并</x:v>
      </x:c>
      <x:c r="Q86" s="23" t="str"/>
    </x:row>
    <x:row r="87" ht="31.5" customHeight="1">
      <x:c r="A87" s="23" t="str">
        <x:v>PMO-063</x:v>
      </x:c>
      <x:c r="B87" s="23" t="str">
        <x:v>PMO原始</x:v>
      </x:c>
      <x:c r="C87" s="23" t="str">
        <x:v>维护与关闭</x:v>
      </x:c>
      <x:c r="D87" s="23" t="str">
        <x:v>预算/经营</x:v>
      </x:c>
      <x:c r="E87" s="23" t="str">
        <x:v>交付复盘 / 资料准备</x:v>
      </x:c>
      <x:c r="F87" s="23" t="str">
        <x:v>设计缺陷、产品缺陷、硬件问题、安装问题、调试问题、成本、供应商配合度、产品质量等</x:v>
      </x:c>
      <x:c r="G87" s="23" t="str">
        <x:v>EXCEL</x:v>
      </x:c>
      <x:c r="H87" s="23" t="str">
        <x:v>SU-21</x:v>
      </x:c>
      <x:c r="I87" s="23" t="str">
        <x:v>项目复盘与知识沉淀</x:v>
      </x:c>
      <x:c r="J87" s="23" t="str">
        <x:v>交付复盘 / 资料准备</x:v>
      </x:c>
      <x:c r="K87" s="23" t="str">
        <x:v>资料包子项</x:v>
      </x:c>
      <x:c r="L87" s="23" t="str">
        <x:v>合并为资料包子项</x:v>
      </x:c>
      <x:c r="M87" s="23" t="str">
        <x:v>子项独立留文件版本</x:v>
      </x:c>
      <x:c r="N87" s="23" t="str">
        <x:v>项目经理+项目组成员</x:v>
      </x:c>
      <x:c r="O87" s="23" t="str">
        <x:v>事业部、产研及相关方</x:v>
      </x:c>
      <x:c r="P87" s="23" t="str">
        <x:v>初步归并</x:v>
      </x:c>
      <x:c r="Q87" s="23" t="str"/>
    </x:row>
    <x:row r="88" ht="31.5" customHeight="1">
      <x:c r="A88" s="23" t="str">
        <x:v>PMO-064</x:v>
      </x:c>
      <x:c r="B88" s="23" t="str">
        <x:v>PMO原始</x:v>
      </x:c>
      <x:c r="C88" s="23" t="str">
        <x:v>维护与关闭</x:v>
      </x:c>
      <x:c r="D88" s="23" t="str">
        <x:v>项目管理/维护</x:v>
      </x:c>
      <x:c r="E88" s="23" t="str">
        <x:v>交付复盘 / 复盘会</x:v>
      </x:c>
      <x:c r="F88" s="23" t="str">
        <x:v>复盘、沟通、明确持续改进项；形成会议纪要</x:v>
      </x:c>
      <x:c r="G88" s="23" t="str">
        <x:v>WORD</x:v>
      </x:c>
      <x:c r="H88" s="23" t="str">
        <x:v>SU-21</x:v>
      </x:c>
      <x:c r="I88" s="23" t="str">
        <x:v>项目复盘与知识沉淀</x:v>
      </x:c>
      <x:c r="J88" s="23" t="str">
        <x:v>交付复盘 / 复盘会</x:v>
      </x:c>
      <x:c r="K88" s="23" t="str">
        <x:v>流程控制节点</x:v>
      </x:c>
      <x:c r="L88" s="23" t="str">
        <x:v>保持独立控制节点</x:v>
      </x:c>
      <x:c r="M88" s="23" t="str">
        <x:v>独立保留申请/审批/结论</x:v>
      </x:c>
      <x:c r="N88" s="23" t="str">
        <x:v>项目经理+项目组成员</x:v>
      </x:c>
      <x:c r="O88" s="23" t="str">
        <x:v>事业部、产研及相关方</x:v>
      </x:c>
      <x:c r="P88" s="23" t="str">
        <x:v>初步归并</x:v>
      </x:c>
      <x:c r="Q88" s="23" t="str"/>
    </x:row>
    <x:row r="89" ht="31.5" customHeight="1">
      <x:c r="A89" s="23" t="str">
        <x:v>PMO-065</x:v>
      </x:c>
      <x:c r="B89" s="23" t="str">
        <x:v>PMO原始</x:v>
      </x:c>
      <x:c r="C89" s="23" t="str">
        <x:v>维护与关闭</x:v>
      </x:c>
      <x:c r="D89" s="23" t="str">
        <x:v>项目管理/维护</x:v>
      </x:c>
      <x:c r="E89" s="23" t="str">
        <x:v>运维 / 点检排查</x:v>
      </x:c>
      <x:c r="F89" s="23" t="str">
        <x:v>运维日志
维护手册</x:v>
      </x:c>
      <x:c r="G89" s="23" t="str">
        <x:v>WORD、EXCEl</x:v>
      </x:c>
      <x:c r="H89" s="23" t="str">
        <x:v>SU-20</x:v>
      </x:c>
      <x:c r="I89" s="23" t="str">
        <x:v>维护巡检与质保关闭</x:v>
      </x:c>
      <x:c r="J89" s="23" t="str">
        <x:v>运维 / 点检排查</x:v>
      </x:c>
      <x:c r="K89" s="23" t="str">
        <x:v>检查/执行任务</x:v>
      </x:c>
      <x:c r="L89" s="23" t="str">
        <x:v>共用模板，按场景实例化</x:v>
      </x:c>
      <x:c r="M89" s="23" t="str">
        <x:v>按任务实例留结果和附件</x:v>
      </x:c>
      <x:c r="N89" s="23" t="str">
        <x:v>调试工程师</x:v>
      </x:c>
      <x:c r="O89" s="23" t="str">
        <x:v>事业部</x:v>
      </x:c>
      <x:c r="P89" s="23" t="str">
        <x:v>初步归并</x:v>
      </x:c>
      <x:c r="Q89" s="23" t="str"/>
    </x:row>
    <x:row r="90" ht="31.5" customHeight="1">
      <x:c r="A90" s="23" t="str">
        <x:v>GOV-032</x:v>
      </x:c>
      <x:c r="B90" s="23" t="str">
        <x:v>需求补充</x:v>
      </x:c>
      <x:c r="C90" s="23" t="str">
        <x:v>维护与关闭</x:v>
      </x:c>
      <x:c r="D90" s="23" t="str">
        <x:v>项目管理/维护</x:v>
      </x:c>
      <x:c r="E90" s="23" t="str">
        <x:v>质保关闭 / 完成质保期评估</x:v>
      </x:c>
      <x:c r="F90" s="23" t="str">
        <x:v>确认质保责任履行、遗留问题关闭、维护资料完整和客户交接状态</x:v>
      </x:c>
      <x:c r="G90" s="23" t="str">
        <x:v>质保关闭记录</x:v>
      </x:c>
      <x:c r="H90" s="23" t="str">
        <x:v>SU-20</x:v>
      </x:c>
      <x:c r="I90" s="23" t="str">
        <x:v>维护巡检与质保关闭</x:v>
      </x:c>
      <x:c r="J90" s="23" t="str">
        <x:v>质保关闭 / 完成质保期评估</x:v>
      </x:c>
      <x:c r="K90" s="23" t="str">
        <x:v>流程控制节点</x:v>
      </x:c>
      <x:c r="L90" s="23" t="str">
        <x:v>保持独立控制节点</x:v>
      </x:c>
      <x:c r="M90" s="23" t="str">
        <x:v>独立保留申请/审批/结论</x:v>
      </x:c>
      <x:c r="N90" s="23" t="str">
        <x:v>维护负责人</x:v>
      </x:c>
      <x:c r="O90" s="23" t="str">
        <x:v>项目经理/PMO</x:v>
      </x:c>
      <x:c r="P90" s="23" t="str">
        <x:v>初步归并</x:v>
      </x:c>
      <x:c r="Q90" s="23" t="str"/>
    </x:row>
    <x:row r="91" ht="31.5" customHeight="1">
      <x:c r="A91" s="23" t="str">
        <x:v>GOV-033</x:v>
      </x:c>
      <x:c r="B91" s="23" t="str">
        <x:v>需求补充</x:v>
      </x:c>
      <x:c r="C91" s="23" t="str">
        <x:v>维护与关闭</x:v>
      </x:c>
      <x:c r="D91" s="23" t="str">
        <x:v>项目管理/维护</x:v>
      </x:c>
      <x:c r="E91" s="23" t="str">
        <x:v>项目复盘 / 知识沉淀与关闭</x:v>
      </x:c>
      <x:c r="F91" s="23" t="str">
        <x:v>复盘设计、产品、硬件、安装、调试、成本和供应商问题，评审可复用内容后沉淀公司知识库</x:v>
      </x:c>
      <x:c r="G91" s="23" t="str">
        <x:v>项目复盘报告、改进项和知识发布记录</x:v>
      </x:c>
      <x:c r="H91" s="23" t="str">
        <x:v>SU-21</x:v>
      </x:c>
      <x:c r="I91" s="23" t="str">
        <x:v>项目复盘与知识沉淀</x:v>
      </x:c>
      <x:c r="J91" s="23" t="str">
        <x:v>项目复盘 / 知识沉淀与关闭</x:v>
      </x:c>
      <x:c r="K91" s="23" t="str">
        <x:v>资料包子项</x:v>
      </x:c>
      <x:c r="L91" s="23" t="str">
        <x:v>合并为资料包子项</x:v>
      </x:c>
      <x:c r="M91" s="23" t="str">
        <x:v>子项独立留文件版本</x:v>
      </x:c>
      <x:c r="N91" s="23" t="str">
        <x:v>项目经理/项目组</x:v>
      </x:c>
      <x:c r="O91" s="23" t="str">
        <x:v>PMO/相关部门负责人</x:v>
      </x:c>
      <x:c r="P91" s="23" t="str">
        <x:v>初步归并</x:v>
      </x:c>
      <x:c r="Q91" s="23" t="str"/>
    </x:row>
    <x:row r="92" ht="31.5" customHeight="1">
      <x:c r="A92" s="23" t="str">
        <x:v>GOV-017</x:v>
      </x:c>
      <x:c r="B92" s="23" t="str">
        <x:v>需求补充</x:v>
      </x:c>
      <x:c r="C92" s="23" t="str">
        <x:v>全阶段治理</x:v>
      </x:c>
      <x:c r="D92" s="23" t="str">
        <x:v>项目管理/综合</x:v>
      </x:c>
      <x:c r="E92" s="23" t="str">
        <x:v>计划管理 / 计划变更</x:v>
      </x:c>
      <x:c r="F92" s="23" t="str">
        <x:v>记录变更原因及范围、工期、资源、成本、合同和验收影响，批准后生成新版本</x:v>
      </x:c>
      <x:c r="G92" s="23" t="str">
        <x:v>计划变更申请与新基线</x:v>
      </x:c>
      <x:c r="H92" s="23" t="str">
        <x:v>SU-09</x:v>
      </x:c>
      <x:c r="I92" s="23" t="str">
        <x:v>项目计划基线与变更</x:v>
      </x:c>
      <x:c r="J92" s="23" t="str">
        <x:v>计划管理 / 计划变更</x:v>
      </x:c>
      <x:c r="K92" s="23" t="str">
        <x:v>流程控制节点</x:v>
      </x:c>
      <x:c r="L92" s="23" t="str">
        <x:v>保持独立控制节点</x:v>
      </x:c>
      <x:c r="M92" s="23" t="str">
        <x:v>独立保留申请/审批/结论</x:v>
      </x:c>
      <x:c r="N92" s="23" t="str">
        <x:v>项目经理</x:v>
      </x:c>
      <x:c r="O92" s="23" t="str">
        <x:v>按变更等级授权角色</x:v>
      </x:c>
      <x:c r="P92" s="23" t="str">
        <x:v>初步归并</x:v>
      </x:c>
      <x:c r="Q92" s="23" t="str"/>
    </x:row>
    <x:row r="93" ht="42" customHeight="1">
      <x:c r="A93" s="23" t="str">
        <x:v>GOV-018</x:v>
      </x:c>
      <x:c r="B93" s="23" t="str">
        <x:v>需求补充</x:v>
      </x:c>
      <x:c r="C93" s="23" t="str">
        <x:v>全阶段治理</x:v>
      </x:c>
      <x:c r="D93" s="23" t="str">
        <x:v>项目管理/综合</x:v>
      </x:c>
      <x:c r="E93" s="23" t="str">
        <x:v>报告管理 / 提交日报</x:v>
      </x:c>
      <x:c r="F93" s="23" t="str">
        <x:v>从个人任务带入完成量和投入，补充问题、安全事实、现场图片和下一步计划</x:v>
      </x:c>
      <x:c r="G93" s="23" t="str">
        <x:v>个人日报</x:v>
      </x:c>
      <x:c r="H93" s="23" t="str">
        <x:v>SU-22</x:v>
      </x:c>
      <x:c r="I93" s="23" t="str">
        <x:v>项目日报与周报</x:v>
      </x:c>
      <x:c r="J93" s="23" t="str">
        <x:v>报告管理 / 提交日报</x:v>
      </x:c>
      <x:c r="K93" s="23" t="str">
        <x:v>报表/预测</x:v>
      </x:c>
      <x:c r="L93" s="23" t="str">
        <x:v>共用报表与预测引擎</x:v>
      </x:c>
      <x:c r="M93" s="23" t="str">
        <x:v>按周期留快照与调整说明</x:v>
      </x:c>
      <x:c r="N93" s="23" t="str">
        <x:v>项目成员</x:v>
      </x:c>
      <x:c r="O93" s="23" t="str">
        <x:v>工作包负责人</x:v>
      </x:c>
      <x:c r="P93" s="23" t="str">
        <x:v>待确认</x:v>
      </x:c>
      <x:c r="Q93" s="23" t="str">
        <x:v>需按已确认现状修订：项目成员通常不写个人日报，由项目经理形成日报汇总；成员以任务反馈和周报为主</x:v>
      </x:c>
    </x:row>
    <x:row r="94" ht="31.5" customHeight="1">
      <x:c r="A94" s="23" t="str">
        <x:v>GOV-019</x:v>
      </x:c>
      <x:c r="B94" s="23" t="str">
        <x:v>需求补充</x:v>
      </x:c>
      <x:c r="C94" s="23" t="str">
        <x:v>全阶段治理</x:v>
      </x:c>
      <x:c r="D94" s="23" t="str">
        <x:v>项目管理/综合</x:v>
      </x:c>
      <x:c r="E94" s="23" t="str">
        <x:v>报告管理 / 生成并确认周报</x:v>
      </x:c>
      <x:c r="F94" s="23" t="str">
        <x:v>系统汇总里程碑偏差、工作包状态、人员负荷、重大问题和下周计划，项目经理补充判断</x:v>
      </x:c>
      <x:c r="G94" s="23" t="str">
        <x:v>项目周报</x:v>
      </x:c>
      <x:c r="H94" s="23" t="str">
        <x:v>SU-22</x:v>
      </x:c>
      <x:c r="I94" s="23" t="str">
        <x:v>项目日报与周报</x:v>
      </x:c>
      <x:c r="J94" s="23" t="str">
        <x:v>报告管理 / 生成并确认周报</x:v>
      </x:c>
      <x:c r="K94" s="23" t="str">
        <x:v>自动规则/快照</x:v>
      </x:c>
      <x:c r="L94" s="23" t="str">
        <x:v>系统自动校验/生成</x:v>
      </x:c>
      <x:c r="M94" s="23" t="str">
        <x:v>保留系统校验/生成记录</x:v>
      </x:c>
      <x:c r="N94" s="23" t="str">
        <x:v>项目经理</x:v>
      </x:c>
      <x:c r="O94" s="23" t="str">
        <x:v>PMO/项目组</x:v>
      </x:c>
      <x:c r="P94" s="23" t="str">
        <x:v>初步归并</x:v>
      </x:c>
      <x:c r="Q94" s="23" t="str"/>
    </x:row>
    <x:row r="95" ht="31.5" customHeight="1">
      <x:c r="A95" s="23" t="str">
        <x:v>GOV-020</x:v>
      </x:c>
      <x:c r="B95" s="23" t="str">
        <x:v>需求补充</x:v>
      </x:c>
      <x:c r="C95" s="23" t="str">
        <x:v>全阶段治理</x:v>
      </x:c>
      <x:c r="D95" s="23" t="str">
        <x:v>项目管理/综合</x:v>
      </x:c>
      <x:c r="E95" s="23" t="str">
        <x:v>问题管理 / 问题闭环</x:v>
      </x:c>
      <x:c r="F95" s="23" t="str">
        <x:v>发现登记、分级分派、分析处置、提交验证，由提出方或指定验收人确认关闭</x:v>
      </x:c>
      <x:c r="G95" s="23" t="str">
        <x:v>问题记录与验证证据</x:v>
      </x:c>
      <x:c r="H95" s="23" t="str">
        <x:v>SU-23</x:v>
      </x:c>
      <x:c r="I95" s="23" t="str">
        <x:v>事项闭环中心</x:v>
      </x:c>
      <x:c r="J95" s="23" t="str">
        <x:v>问题管理 / 问题闭环</x:v>
      </x:c>
      <x:c r="K95" s="23" t="str">
        <x:v>事项台账/子流程</x:v>
      </x:c>
      <x:c r="L95" s="23" t="str">
        <x:v>共用闭环引擎，分类配置</x:v>
      </x:c>
      <x:c r="M95" s="23" t="str">
        <x:v>每条事项独立留闭环证据</x:v>
      </x:c>
      <x:c r="N95" s="23" t="str">
        <x:v>问题责任人</x:v>
      </x:c>
      <x:c r="O95" s="23" t="str">
        <x:v>提出方/指定验收人</x:v>
      </x:c>
      <x:c r="P95" s="23" t="str">
        <x:v>初步归并</x:v>
      </x:c>
      <x:c r="Q95" s="23" t="str"/>
    </x:row>
    <x:row r="96" ht="31.5" customHeight="1">
      <x:c r="A96" s="23" t="str">
        <x:v>GOV-021</x:v>
      </x:c>
      <x:c r="B96" s="23" t="str">
        <x:v>需求补充</x:v>
      </x:c>
      <x:c r="C96" s="23" t="str">
        <x:v>全阶段治理</x:v>
      </x:c>
      <x:c r="D96" s="23" t="str">
        <x:v>项目管理/综合</x:v>
      </x:c>
      <x:c r="E96" s="23" t="str">
        <x:v>风险管理 / 风险登记与应对</x:v>
      </x:c>
      <x:c r="F96" s="23" t="str">
        <x:v>记录概率、影响、触发条件、预防措施、应急预案、责任人和复核日期</x:v>
      </x:c>
      <x:c r="G96" s="23" t="str">
        <x:v>项目风险记录</x:v>
      </x:c>
      <x:c r="H96" s="23" t="str">
        <x:v>SU-23</x:v>
      </x:c>
      <x:c r="I96" s="23" t="str">
        <x:v>事项闭环中心</x:v>
      </x:c>
      <x:c r="J96" s="23" t="str">
        <x:v>风险管理 / 风险登记与应对</x:v>
      </x:c>
      <x:c r="K96" s="23" t="str">
        <x:v>事项台账/子流程</x:v>
      </x:c>
      <x:c r="L96" s="23" t="str">
        <x:v>共用闭环引擎，分类配置</x:v>
      </x:c>
      <x:c r="M96" s="23" t="str">
        <x:v>每条事项独立留闭环证据</x:v>
      </x:c>
      <x:c r="N96" s="23" t="str">
        <x:v>项目经理/风险责任人</x:v>
      </x:c>
      <x:c r="O96" s="23" t="str">
        <x:v>PMO/相关负责人</x:v>
      </x:c>
      <x:c r="P96" s="23" t="str">
        <x:v>初步归并</x:v>
      </x:c>
      <x:c r="Q96" s="23" t="str"/>
    </x:row>
    <x:row r="97" ht="31.5" customHeight="1">
      <x:c r="A97" s="23" t="str">
        <x:v>GOV-022</x:v>
      </x:c>
      <x:c r="B97" s="23" t="str">
        <x:v>需求补充</x:v>
      </x:c>
      <x:c r="C97" s="23" t="str">
        <x:v>全阶段治理</x:v>
      </x:c>
      <x:c r="D97" s="23" t="str">
        <x:v>项目管理/综合</x:v>
      </x:c>
      <x:c r="E97" s="23" t="str">
        <x:v>变更管理 / 变更评估与批准</x:v>
      </x:c>
      <x:c r="F97" s="23" t="str">
        <x:v>联合评估范围、技术、工期、成本、合同、验收和安全影响，按等级批准并更新基线</x:v>
      </x:c>
      <x:c r="G97" s="23" t="str">
        <x:v>变更申请、影响评估与批准记录</x:v>
      </x:c>
      <x:c r="H97" s="23" t="str">
        <x:v>SU-23</x:v>
      </x:c>
      <x:c r="I97" s="23" t="str">
        <x:v>事项闭环中心</x:v>
      </x:c>
      <x:c r="J97" s="23" t="str">
        <x:v>变更管理 / 变更评估与批准</x:v>
      </x:c>
      <x:c r="K97" s="23" t="str">
        <x:v>事项台账/子流程</x:v>
      </x:c>
      <x:c r="L97" s="23" t="str">
        <x:v>共用闭环引擎，分类配置</x:v>
      </x:c>
      <x:c r="M97" s="23" t="str">
        <x:v>每条事项独立留闭环证据</x:v>
      </x:c>
      <x:c r="N97" s="23" t="str">
        <x:v>变更提出方/项目经理</x:v>
      </x:c>
      <x:c r="O97" s="23" t="str">
        <x:v>按变更等级授权角色</x:v>
      </x:c>
      <x:c r="P97" s="23" t="str">
        <x:v>初步归并</x:v>
      </x:c>
      <x:c r="Q97" s="23" t="str"/>
    </x:row>
    <x:row r="98" ht="31.5" customHeight="1">
      <x:c r="A98" s="23" t="str">
        <x:v>GOV-023</x:v>
      </x:c>
      <x:c r="B98" s="23" t="str">
        <x:v>需求补充</x:v>
      </x:c>
      <x:c r="C98" s="23" t="str">
        <x:v>全阶段治理</x:v>
      </x:c>
      <x:c r="D98" s="23" t="str">
        <x:v>安全</x:v>
      </x:c>
      <x:c r="E98" s="23" t="str">
        <x:v>安全管理 / 隐患与事件闭环</x:v>
      </x:c>
      <x:c r="F98" s="23" t="str">
        <x:v>登记隐患或事件，分级处置，必要时停工；整改验证后完成复工审批</x:v>
      </x:c>
      <x:c r="G98" s="23" t="str">
        <x:v>安全隐患/事件及复工记录</x:v>
      </x:c>
      <x:c r="H98" s="23" t="str">
        <x:v>SU-23</x:v>
      </x:c>
      <x:c r="I98" s="23" t="str">
        <x:v>事项闭环中心</x:v>
      </x:c>
      <x:c r="J98" s="23" t="str">
        <x:v>安全管理 / 隐患与事件闭环</x:v>
      </x:c>
      <x:c r="K98" s="23" t="str">
        <x:v>事项台账/子流程</x:v>
      </x:c>
      <x:c r="L98" s="23" t="str">
        <x:v>共用闭环引擎，分类配置</x:v>
      </x:c>
      <x:c r="M98" s="23" t="str">
        <x:v>每条事项独立留闭环证据</x:v>
      </x:c>
      <x:c r="N98" s="23" t="str">
        <x:v>安全责任人</x:v>
      </x:c>
      <x:c r="O98" s="23" t="str">
        <x:v>项目经理/安全授权人</x:v>
      </x:c>
      <x:c r="P98" s="23" t="str">
        <x:v>初步归并</x:v>
      </x:c>
      <x:c r="Q98" s="23" t="str"/>
    </x:row>
    <x:row r="99" ht="31.5" customHeight="1">
      <x:c r="A99" s="23" t="str">
        <x:v>GOV-024</x:v>
      </x:c>
      <x:c r="B99" s="23" t="str">
        <x:v>需求补充</x:v>
      </x:c>
      <x:c r="C99" s="23" t="str">
        <x:v>全阶段治理</x:v>
      </x:c>
      <x:c r="D99" s="23" t="str">
        <x:v>项目管理/综合</x:v>
      </x:c>
      <x:c r="E99" s="23" t="str">
        <x:v>文件管理 / 发布受控文件版本</x:v>
      </x:c>
      <x:c r="F99" s="23" t="str">
        <x:v>文件经编制、评审、批准后发布；旧版本标记已替代或作废并指向新版本</x:v>
      </x:c>
      <x:c r="G99" s="23" t="str">
        <x:v>受控文件与版本审批记录</x:v>
      </x:c>
      <x:c r="H99" s="23" t="str">
        <x:v>SU-24</x:v>
      </x:c>
      <x:c r="I99" s="23" t="str">
        <x:v>受控文件与版本管理</x:v>
      </x:c>
      <x:c r="J99" s="23" t="str">
        <x:v>文件管理 / 发布受控文件版本</x:v>
      </x:c>
      <x:c r="K99" s="23" t="str">
        <x:v>文件版本能力</x:v>
      </x:c>
      <x:c r="L99" s="23" t="str">
        <x:v>共用文件版本能力</x:v>
      </x:c>
      <x:c r="M99" s="23" t="str">
        <x:v>每次发布独立留版本与审批</x:v>
      </x:c>
      <x:c r="N99" s="23" t="str">
        <x:v>文件编制人</x:v>
      </x:c>
      <x:c r="O99" s="23" t="str">
        <x:v>指定审核/批准角色</x:v>
      </x:c>
      <x:c r="P99" s="23" t="str">
        <x:v>初步归并</x:v>
      </x:c>
      <x:c r="Q99" s="23" t="str"/>
    </x:row>
    <x:row r="100" ht="31.5" customHeight="1">
      <x:c r="A100" s="23" t="str">
        <x:v>GOV-027</x:v>
      </x:c>
      <x:c r="B100" s="23" t="str">
        <x:v>需求补充</x:v>
      </x:c>
      <x:c r="C100" s="23" t="str">
        <x:v>全阶段治理</x:v>
      </x:c>
      <x:c r="D100" s="23" t="str">
        <x:v>预算/经营</x:v>
      </x:c>
      <x:c r="E100" s="23" t="str">
        <x:v>预算管理 / 预算执行监控</x:v>
      </x:c>
      <x:c r="F100" s="23" t="str">
        <x:v>比较批准预算、已承诺、实际成本和完工预测，识别占用与偏差</x:v>
      </x:c>
      <x:c r="G100" s="23" t="str">
        <x:v>项目预算执行报表</x:v>
      </x:c>
      <x:c r="H100" s="23" t="str">
        <x:v>SU-25</x:v>
      </x:c>
      <x:c r="I100" s="23" t="str">
        <x:v>预算执行与经营预测</x:v>
      </x:c>
      <x:c r="J100" s="23" t="str">
        <x:v>预算管理 / 预算执行监控</x:v>
      </x:c>
      <x:c r="K100" s="23" t="str">
        <x:v>报表/预测</x:v>
      </x:c>
      <x:c r="L100" s="23" t="str">
        <x:v>共用报表与预测引擎</x:v>
      </x:c>
      <x:c r="M100" s="23" t="str">
        <x:v>按周期留快照与调整说明</x:v>
      </x:c>
      <x:c r="N100" s="23" t="str">
        <x:v>项目经理</x:v>
      </x:c>
      <x:c r="O100" s="23" t="str">
        <x:v>PMO/财务</x:v>
      </x:c>
      <x:c r="P100" s="23" t="str">
        <x:v>初步归并</x:v>
      </x:c>
      <x:c r="Q100" s="23" t="str"/>
    </x:row>
    <x:row r="101" ht="31.5" customHeight="1">
      <x:c r="A101" s="23" t="str">
        <x:v>GOV-028</x:v>
      </x:c>
      <x:c r="B101" s="23" t="str">
        <x:v>需求补充</x:v>
      </x:c>
      <x:c r="C101" s="23" t="str">
        <x:v>全阶段治理</x:v>
      </x:c>
      <x:c r="D101" s="23" t="str">
        <x:v>预算/经营</x:v>
      </x:c>
      <x:c r="E101" s="23" t="str">
        <x:v>预算管理 / 更新完工预测</x:v>
      </x:c>
      <x:c r="F101" s="23" t="str">
        <x:v>按实际成本和剩余工作更新预计完工成本，说明重大变化原因和措施</x:v>
      </x:c>
      <x:c r="G101" s="23" t="str">
        <x:v>项目完工预测</x:v>
      </x:c>
      <x:c r="H101" s="23" t="str">
        <x:v>SU-25</x:v>
      </x:c>
      <x:c r="I101" s="23" t="str">
        <x:v>预算执行与经营预测</x:v>
      </x:c>
      <x:c r="J101" s="23" t="str">
        <x:v>预算管理 / 更新完工预测</x:v>
      </x:c>
      <x:c r="K101" s="23" t="str">
        <x:v>报表/预测</x:v>
      </x:c>
      <x:c r="L101" s="23" t="str">
        <x:v>共用报表与预测引擎</x:v>
      </x:c>
      <x:c r="M101" s="23" t="str">
        <x:v>按周期留快照与调整说明</x:v>
      </x:c>
      <x:c r="N101" s="23" t="str">
        <x:v>项目经理/工作包负责人</x:v>
      </x:c>
      <x:c r="O101" s="23" t="str">
        <x:v>PMO/财务</x:v>
      </x:c>
      <x:c r="P101" s="23" t="str">
        <x:v>初步归并</x:v>
      </x:c>
      <x:c r="Q101" s="23" t="str"/>
    </x:row>
    <x:row r="102" ht="31.5" customHeight="1">
      <x:c r="A102" s="23" t="str">
        <x:v>GOV-029</x:v>
      </x:c>
      <x:c r="B102" s="23" t="str">
        <x:v>需求补充</x:v>
      </x:c>
      <x:c r="C102" s="23" t="str">
        <x:v>全阶段治理</x:v>
      </x:c>
      <x:c r="D102" s="23" t="str">
        <x:v>预算/经营</x:v>
      </x:c>
      <x:c r="E102" s="23" t="str">
        <x:v>经营管理 / 付款节点与回款预测</x:v>
      </x:c>
      <x:c r="F102" s="23" t="str">
        <x:v>将合同付款节点与里程碑、验收证据、开票和收款状态关联</x:v>
      </x:c>
      <x:c r="G102" s="23" t="str">
        <x:v>付款节点与回款预测表</x:v>
      </x:c>
      <x:c r="H102" s="23" t="str">
        <x:v>SU-25</x:v>
      </x:c>
      <x:c r="I102" s="23" t="str">
        <x:v>预算执行与经营预测</x:v>
      </x:c>
      <x:c r="J102" s="23" t="str">
        <x:v>经营管理 / 付款节点与回款预测</x:v>
      </x:c>
      <x:c r="K102" s="23" t="str">
        <x:v>报表/预测</x:v>
      </x:c>
      <x:c r="L102" s="23" t="str">
        <x:v>共用报表与预测引擎</x:v>
      </x:c>
      <x:c r="M102" s="23" t="str">
        <x:v>按周期留快照与调整说明</x:v>
      </x:c>
      <x:c r="N102" s="23" t="str">
        <x:v>商务/项目经理</x:v>
      </x:c>
      <x:c r="O102" s="23" t="str">
        <x:v>财务/管理层</x:v>
      </x:c>
      <x:c r="P102" s="23" t="str">
        <x:v>初步归并</x:v>
      </x:c>
      <x:c r="Q102" s="23" t="str"/>
    </x:row>
    <x:row r="103" ht="31.5" customHeight="1">
      <x:c r="A103" s="23" t="str">
        <x:v>GOV-030</x:v>
      </x:c>
      <x:c r="B103" s="23" t="str">
        <x:v>需求补充</x:v>
      </x:c>
      <x:c r="C103" s="23" t="str">
        <x:v>全阶段治理</x:v>
      </x:c>
      <x:c r="D103" s="23" t="str">
        <x:v>预算/经营</x:v>
      </x:c>
      <x:c r="E103" s="23" t="str">
        <x:v>经营管理 / 周期性经营上报</x:v>
      </x:c>
      <x:c r="F103" s="23" t="str">
        <x:v>汇总下月预计收入、回款、采购需求、重点项目、偏差和待决策项</x:v>
      </x:c>
      <x:c r="G103" s="23" t="str">
        <x:v>月度经营报告</x:v>
      </x:c>
      <x:c r="H103" s="23" t="str">
        <x:v>SU-25</x:v>
      </x:c>
      <x:c r="I103" s="23" t="str">
        <x:v>预算执行与经营预测</x:v>
      </x:c>
      <x:c r="J103" s="23" t="str">
        <x:v>经营管理 / 周期性经营上报</x:v>
      </x:c>
      <x:c r="K103" s="23" t="str">
        <x:v>报表/预测</x:v>
      </x:c>
      <x:c r="L103" s="23" t="str">
        <x:v>共用报表与预测引擎</x:v>
      </x:c>
      <x:c r="M103" s="23" t="str">
        <x:v>按周期留快照与调整说明</x:v>
      </x:c>
      <x:c r="N103" s="23" t="str">
        <x:v>PMO/商务</x:v>
      </x:c>
      <x:c r="O103" s="23" t="str">
        <x:v>公司管理层</x:v>
      </x:c>
      <x:c r="P103" s="23" t="str">
        <x:v>初步归并</x:v>
      </x:c>
      <x:c r="Q103" s="23" t="str"/>
    </x:row>
    <x:row r="104" ht="31.5" customHeight="1">
      <x:c r="A104" s="23" t="str">
        <x:v>GOV-034</x:v>
      </x:c>
      <x:c r="B104" s="23" t="str">
        <x:v>需求补充</x:v>
      </x:c>
      <x:c r="C104" s="23" t="str">
        <x:v>全阶段治理</x:v>
      </x:c>
      <x:c r="D104" s="23" t="str">
        <x:v>项目管理/综合</x:v>
      </x:c>
      <x:c r="E104" s="23" t="str">
        <x:v>绩效证据 / 形成周期绩效证据快照</x:v>
      </x:c>
      <x:c r="F104" s="23" t="str">
        <x:v>按已配置KPI/OKR口径汇总项目事实、人工补充证据和调整说明，确认后锁定周期快照</x:v>
      </x:c>
      <x:c r="G104" s="23" t="str">
        <x:v>绩效证据快照</x:v>
      </x:c>
      <x:c r="H104" s="23" t="str">
        <x:v>SU-26</x:v>
      </x:c>
      <x:c r="I104" s="23" t="str">
        <x:v>绩效证据快照</x:v>
      </x:c>
      <x:c r="J104" s="23" t="str">
        <x:v>绩效证据 / 形成周期绩效证据快照</x:v>
      </x:c>
      <x:c r="K104" s="23" t="str">
        <x:v>自动规则/快照</x:v>
      </x:c>
      <x:c r="L104" s="23" t="str">
        <x:v>系统自动校验/生成</x:v>
      </x:c>
      <x:c r="M104" s="23" t="str">
        <x:v>保留系统校验/生成记录</x:v>
      </x:c>
      <x:c r="N104" s="23" t="str">
        <x:v>部门负责人/项目负责人</x:v>
      </x:c>
      <x:c r="O104" s="23" t="str">
        <x:v>绩效授权角色</x:v>
      </x:c>
      <x:c r="P104" s="23" t="str">
        <x:v>初步归并</x:v>
      </x:c>
      <x:c r="Q104" s="23" t="str"/>
    </x:row>
    <x:row r="105" ht="31.5" customHeight="1">
      <x:c r="A105" s="23" t="str">
        <x:v>PMO-066</x:v>
      </x:c>
      <x:c r="B105" s="23" t="str">
        <x:v>PMO原始</x:v>
      </x:c>
      <x:c r="C105" s="23" t="str">
        <x:v>全阶段治理</x:v>
      </x:c>
      <x:c r="D105" s="23" t="str">
        <x:v>项目管理/维护</x:v>
      </x:c>
      <x:c r="E105" s="23" t="str">
        <x:v>全阶段 / 问题清单</x:v>
      </x:c>
      <x:c r="F105" s="23" t="str">
        <x:v>一项目一清单</x:v>
      </x:c>
      <x:c r="G105" s="23" t="str">
        <x:v>EXCEl</x:v>
      </x:c>
      <x:c r="H105" s="23" t="str">
        <x:v>SU-23</x:v>
      </x:c>
      <x:c r="I105" s="23" t="str">
        <x:v>事项闭环中心</x:v>
      </x:c>
      <x:c r="J105" s="23" t="str">
        <x:v>全阶段 / 问题清单</x:v>
      </x:c>
      <x:c r="K105" s="23" t="str">
        <x:v>事项台账/子流程</x:v>
      </x:c>
      <x:c r="L105" s="23" t="str">
        <x:v>共用闭环引擎，分类配置</x:v>
      </x:c>
      <x:c r="M105" s="23" t="str">
        <x:v>每条事项独立留闭环证据</x:v>
      </x:c>
      <x:c r="N105" s="23" t="str">
        <x:v>项目组全员</x:v>
      </x:c>
      <x:c r="O105" s="23" t="str">
        <x:v>事业部、产研</x:v>
      </x:c>
      <x:c r="P105" s="23" t="str">
        <x:v>初步归并</x:v>
      </x:c>
      <x:c r="Q105" s="23" t="str"/>
    </x:row>
  </x:sheetData>
  <x:mergeCells>
    <x:mergeCell ref="A1:Q1"/>
    <x:mergeCell ref="A2:Q2"/>
    <x:mergeCell ref="A3:Q3"/>
  </x:mergeCells>
  <x:conditionalFormatting sqref="P6:Q105">
    <x:cfRule type="expression" dxfId="0" priority="1">
      <x:formula>$P6="待确认"</x:formula>
    </x:cfRule>
  </x:conditionalFormatting>
  <x:dataValidations count="1">
    <x:dataValidation type="list" sqref="P6:P105">
      <x:formula1>"初步归并,待确认,已确认,不采纳"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a1145a3f0849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.670000076293945" hidden="0" customWidth="1"/>
    <x:col min="3" max="3" width="31.110000610351562" hidden="0" customWidth="1"/>
    <x:col min="4" max="4" width="33.33000183105469" hidden="0" customWidth="1"/>
    <x:col min="5" max="5" width="25.559999465942383" hidden="0" customWidth="1"/>
    <x:col min="6" max="6" width="15.5600004196167" hidden="0" customWidth="1"/>
  </x:cols>
  <x:sheetData>
    <x:row r="1" ht="31.5" customHeight="1">
      <x:c r="A1" s="3" t="str">
        <x:v>系统归并规则 V0.1</x:v>
      </x:c>
      <x:c r="B1" s="3" t="str">
        <x:v>系统归并规则 V0.1</x:v>
      </x:c>
      <x:c r="C1" s="3" t="str">
        <x:v>系统归并规则 V0.1</x:v>
      </x:c>
      <x:c r="D1" s="3" t="str">
        <x:v>系统归并规则 V0.1</x:v>
      </x:c>
      <x:c r="E1" s="3" t="str">
        <x:v>系统归并规则 V0.1</x:v>
      </x:c>
      <x:c r="F1" s="3" t="str">
        <x:v>系统归并规则 V0.1</x:v>
      </x:c>
    </x:row>
    <x:row r="2" ht="25.5" customHeight="1">
      <x:c r="A2" s="7" t="str">
        <x:v>归并针对系统入口、公共能力和模板复用，不改变公司管理责任；发生冲突时以独立审批、独立证据和阶段门控制为优先。</x:v>
      </x:c>
      <x:c r="B2" s="7" t="str">
        <x:v>归并针对系统入口、公共能力和模板复用，不改变公司管理责任；发生冲突时以独立审批、独立证据和阶段门控制为优先。</x:v>
      </x:c>
      <x:c r="C2" s="7" t="str">
        <x:v>归并针对系统入口、公共能力和模板复用，不改变公司管理责任；发生冲突时以独立审批、独立证据和阶段门控制为优先。</x:v>
      </x:c>
      <x:c r="D2" s="7" t="str">
        <x:v>归并针对系统入口、公共能力和模板复用，不改变公司管理责任；发生冲突时以独立审批、独立证据和阶段门控制为优先。</x:v>
      </x:c>
      <x:c r="E2" s="7" t="str">
        <x:v>归并针对系统入口、公共能力和模板复用，不改变公司管理责任；发生冲突时以独立审批、独立证据和阶段门控制为优先。</x:v>
      </x:c>
      <x:c r="F2" s="7" t="str">
        <x:v>归并针对系统入口、公共能力和模板复用，不改变公司管理责任；发生冲突时以独立审批、独立证据和阶段门控制为优先。</x:v>
      </x:c>
    </x:row>
    <x:row r="4" ht="28.5" customHeight="1">
      <x:c r="A4" s="16" t="str">
        <x:v>规则编号</x:v>
      </x:c>
      <x:c r="B4" s="16" t="str">
        <x:v>判断维度</x:v>
      </x:c>
      <x:c r="C4" s="16" t="str">
        <x:v>判断问题</x:v>
      </x:c>
      <x:c r="D4" s="16" t="str">
        <x:v>系统处理</x:v>
      </x:c>
      <x:c r="E4" s="16" t="str">
        <x:v>示例</x:v>
      </x:c>
      <x:c r="F4" s="16" t="str">
        <x:v>结论</x:v>
      </x:c>
    </x:row>
    <x:row r="5" ht="31.5" customHeight="1">
      <x:c r="A5" s="22" t="str">
        <x:v>R-01</x:v>
      </x:c>
      <x:c r="B5" s="22" t="str">
        <x:v>同一业务对象</x:v>
      </x:c>
      <x:c r="C5" s="22" t="str">
        <x:v>同一个商机、项目、问题或文件版本</x:v>
      </x:c>
      <x:c r="D5" s="22" t="str">
        <x:v>共用一份主档和变更日志</x:v>
      </x:c>
      <x:c r="E5" s="22" t="str">
        <x:v>商机记录+等级更新</x:v>
      </x:c>
      <x:c r="F5" s="22" t="str">
        <x:v>可以合并</x:v>
      </x:c>
    </x:row>
    <x:row r="6" ht="31.5" customHeight="1">
      <x:c r="A6" s="23" t="str">
        <x:v>R-02</x:v>
      </x:c>
      <x:c r="B6" s="23" t="str">
        <x:v>同一业务事件</x:v>
      </x:c>
      <x:c r="C6" s="23" t="str">
        <x:v>触发条件、责任链和闭环目标一致</x:v>
      </x:c>
      <x:c r="D6" s="23" t="str">
        <x:v>合并为一条流程的多个节点</x:v>
      </x:c>
      <x:c r="E6" s="23" t="str">
        <x:v>商务移交申请+完整性校验+联合评审</x:v>
      </x:c>
      <x:c r="F6" s="23" t="str">
        <x:v>可以合并</x:v>
      </x:c>
    </x:row>
    <x:row r="7" ht="31.5" customHeight="1">
      <x:c r="A7" s="23" t="str">
        <x:v>R-03</x:v>
      </x:c>
      <x:c r="B7" s="23" t="str">
        <x:v>资料包子项</x:v>
      </x:c>
      <x:c r="C7" s="23" t="str">
        <x:v>不同文件共同支撑一次评审或阶段门</x:v>
      </x:c>
      <x:c r="D7" s="23" t="str">
        <x:v>合并入口，文件分别留版本</x:v>
      </x:c>
      <x:c r="E7" s="23" t="str">
        <x:v>调研资料、需求、清单、方案</x:v>
      </x:c>
      <x:c r="F7" s="23" t="str">
        <x:v>可以合并</x:v>
      </x:c>
    </x:row>
    <x:row r="8" ht="31.5" customHeight="1">
      <x:c r="A8" s="23" t="str">
        <x:v>R-04</x:v>
      </x:c>
      <x:c r="B8" s="23" t="str">
        <x:v>同构工作包</x:v>
      </x:c>
      <x:c r="C8" s="23" t="str">
        <x:v>流程相同，仅专业、设备或项目模板不同</x:v>
      </x:c>
      <x:c r="D8" s="23" t="str">
        <x:v>共用模板，按工作包实例化</x:v>
      </x:c>
      <x:c r="E8" s="23" t="str">
        <x:v>机械/电气/软件设计</x:v>
      </x:c>
      <x:c r="F8" s="23" t="str">
        <x:v>可以合并</x:v>
      </x:c>
    </x:row>
    <x:row r="9" ht="31.5" customHeight="1">
      <x:c r="A9" s="23" t="str">
        <x:v>R-05</x:v>
      </x:c>
      <x:c r="B9" s="23" t="str">
        <x:v>审批责任不同</x:v>
      </x:c>
      <x:c r="C9" s="23" t="str">
        <x:v>批准人、责任或授权等级不同</x:v>
      </x:c>
      <x:c r="D9" s="23" t="str">
        <x:v>必须保留独立控制节点</x:v>
      </x:c>
      <x:c r="E9" s="23" t="str">
        <x:v>预算评审与预算审批</x:v>
      </x:c>
      <x:c r="F9" s="23" t="str">
        <x:v>不能直接合并</x:v>
      </x:c>
    </x:row>
    <x:row r="10" ht="31.5" customHeight="1">
      <x:c r="A10" s="23" t="str">
        <x:v>R-06</x:v>
      </x:c>
      <x:c r="B10" s="23" t="str">
        <x:v>阶段门不同</x:v>
      </x:c>
      <x:c r="C10" s="23" t="str">
        <x:v>动作控制不同生命周期状态</x:v>
      </x:c>
      <x:c r="D10" s="23" t="str">
        <x:v>节点可共用能力但不能跨门合并</x:v>
      </x:c>
      <x:c r="E10" s="23" t="str">
        <x:v>软件测试与现场验收</x:v>
      </x:c>
      <x:c r="F10" s="23" t="str">
        <x:v>不能直接合并</x:v>
      </x:c>
    </x:row>
    <x:row r="11" ht="31.5" customHeight="1">
      <x:c r="A11" s="23" t="str">
        <x:v>R-07</x:v>
      </x:c>
      <x:c r="B11" s="23" t="str">
        <x:v>成果证据不同</x:v>
      </x:c>
      <x:c r="C11" s="23" t="str">
        <x:v>需要分别签署、验收、付款或计入绩效</x:v>
      </x:c>
      <x:c r="D11" s="23" t="str">
        <x:v>独立保留成果与审核记录</x:v>
      </x:c>
      <x:c r="E11" s="23" t="str">
        <x:v>FAT报告与试运行报告</x:v>
      </x:c>
      <x:c r="F11" s="23" t="str">
        <x:v>不能删除证据</x:v>
      </x:c>
    </x:row>
    <x:row r="12" ht="31.5" customHeight="1">
      <x:c r="A12" s="23" t="str">
        <x:v>R-08</x:v>
      </x:c>
      <x:c r="B12" s="23" t="str">
        <x:v>安全与例外</x:v>
      </x:c>
      <x:c r="C12" s="23" t="str">
        <x:v>涉及安全、提前开工、越权或超预算</x:v>
      </x:c>
      <x:c r="D12" s="23" t="str">
        <x:v>独立审批、期限和升级规则</x:v>
      </x:c>
      <x:c r="E12" s="23" t="str">
        <x:v>提前开工、安全事件复工</x:v>
      </x:c>
      <x:c r="F12" s="23" t="str">
        <x:v>必须独立控制</x:v>
      </x:c>
    </x:row>
    <x:row r="13" ht="31.5" customHeight="1">
      <x:c r="A13" s="23" t="str">
        <x:v>R-09</x:v>
      </x:c>
      <x:c r="B13" s="23" t="str">
        <x:v>公共状态机</x:v>
      </x:c>
      <x:c r="C13" s="23" t="str">
        <x:v>登记、分派、提醒、验证、关闭机制相同</x:v>
      </x:c>
      <x:c r="D13" s="23" t="str">
        <x:v>共用底层能力，分类配置权限</x:v>
      </x:c>
      <x:c r="E13" s="23" t="str">
        <x:v>问题/风险/变更/安全</x:v>
      </x:c>
      <x:c r="F13" s="23" t="str">
        <x:v>能力可复用</x:v>
      </x:c>
    </x:row>
    <x:row r="14" ht="31.5" customHeight="1">
      <x:c r="A14" s="23" t="str">
        <x:v>R-10</x:v>
      </x:c>
      <x:c r="B14" s="23" t="str">
        <x:v>历史追溯</x:v>
      </x:c>
      <x:c r="C14" s="23" t="str">
        <x:v>原动作被归并后仍需证明来源和覆盖</x:v>
      </x:c>
      <x:c r="D14" s="23" t="str">
        <x:v>保留原动作编号到系统节点的映射</x:v>
      </x:c>
      <x:c r="E14" s="23" t="str">
        <x:v>100项动作映射表</x:v>
      </x:c>
      <x:c r="F14" s="23" t="str">
        <x:v>必须保留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bd50ad78d614d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.329999923706055" hidden="0" customWidth="1"/>
    <x:col min="3" max="3" width="11.670000076293945" hidden="0" customWidth="1"/>
    <x:col min="4" max="4" width="21.110000610351562" hidden="0" customWidth="1"/>
    <x:col min="5" max="5" width="43.33000183105469" hidden="0" customWidth="1"/>
    <x:col min="6" max="6" width="22.219999313354492" hidden="0" customWidth="1"/>
    <x:col min="7" max="7" width="24.440000534057617" hidden="0" customWidth="1"/>
    <x:col min="8" max="8" width="11.670000076293945" hidden="0" customWidth="1"/>
    <x:col min="9" max="9" width="10.5600004196167" hidden="0" customWidth="1"/>
  </x:cols>
  <x:sheetData>
    <x:row r="1" ht="31.5" customHeight="1">
      <x:c r="A1" s="3" t="str">
        <x:v>系统归并待确认事项 V0.1</x:v>
      </x:c>
      <x:c r="B1" s="3" t="str">
        <x:v>系统归并待确认事项 V0.1</x:v>
      </x:c>
      <x:c r="C1" s="3" t="str">
        <x:v>系统归并待确认事项 V0.1</x:v>
      </x:c>
      <x:c r="D1" s="3" t="str">
        <x:v>系统归并待确认事项 V0.1</x:v>
      </x:c>
      <x:c r="E1" s="3" t="str">
        <x:v>系统归并待确认事项 V0.1</x:v>
      </x:c>
      <x:c r="F1" s="3" t="str">
        <x:v>系统归并待确认事项 V0.1</x:v>
      </x:c>
      <x:c r="G1" s="3" t="str">
        <x:v>系统归并待确认事项 V0.1</x:v>
      </x:c>
      <x:c r="H1" s="3" t="str">
        <x:v>系统归并待确认事项 V0.1</x:v>
      </x:c>
      <x:c r="I1" s="3" t="str">
        <x:v>系统归并待确认事项 V0.1</x:v>
      </x:c>
    </x:row>
    <x:row r="2" ht="25.5" customHeight="1">
      <x:c r="A2" s="7" t="str">
        <x:v>这些问题不会阻止当前归并初稿，但会影响流程触发、责任、权限、状态机或成果模板，建议在PRD前完成确认。</x:v>
      </x:c>
      <x:c r="B2" s="7" t="str">
        <x:v>这些问题不会阻止当前归并初稿，但会影响流程触发、责任、权限、状态机或成果模板，建议在PRD前完成确认。</x:v>
      </x:c>
      <x:c r="C2" s="7" t="str">
        <x:v>这些问题不会阻止当前归并初稿，但会影响流程触发、责任、权限、状态机或成果模板，建议在PRD前完成确认。</x:v>
      </x:c>
      <x:c r="D2" s="7" t="str">
        <x:v>这些问题不会阻止当前归并初稿，但会影响流程触发、责任、权限、状态机或成果模板，建议在PRD前完成确认。</x:v>
      </x:c>
      <x:c r="E2" s="7" t="str">
        <x:v>这些问题不会阻止当前归并初稿，但会影响流程触发、责任、权限、状态机或成果模板，建议在PRD前完成确认。</x:v>
      </x:c>
      <x:c r="F2" s="7" t="str">
        <x:v>这些问题不会阻止当前归并初稿，但会影响流程触发、责任、权限、状态机或成果模板，建议在PRD前完成确认。</x:v>
      </x:c>
      <x:c r="G2" s="7" t="str">
        <x:v>这些问题不会阻止当前归并初稿，但会影响流程触发、责任、权限、状态机或成果模板，建议在PRD前完成确认。</x:v>
      </x:c>
      <x:c r="H2" s="7" t="str">
        <x:v>这些问题不会阻止当前归并初稿，但会影响流程触发、责任、权限、状态机或成果模板，建议在PRD前完成确认。</x:v>
      </x:c>
      <x:c r="I2" s="7" t="str">
        <x:v>这些问题不会阻止当前归并初稿，但会影响流程触发、责任、权限、状态机或成果模板，建议在PRD前完成确认。</x:v>
      </x:c>
    </x:row>
    <x:row r="4" ht="28.5" customHeight="1">
      <x:c r="A4" s="16" t="str">
        <x:v>事项编号</x:v>
      </x:c>
      <x:c r="B4" s="16" t="str">
        <x:v>优先级</x:v>
      </x:c>
      <x:c r="C4" s="16" t="str">
        <x:v>关联系统单元</x:v>
      </x:c>
      <x:c r="D4" s="16" t="str">
        <x:v>主题</x:v>
      </x:c>
      <x:c r="E4" s="16" t="str">
        <x:v>待确认事项</x:v>
      </x:c>
      <x:c r="F4" s="16" t="str">
        <x:v>建议参与方</x:v>
      </x:c>
      <x:c r="G4" s="16" t="str">
        <x:v>对系统的影响</x:v>
      </x:c>
      <x:c r="H4" s="16" t="str">
        <x:v>建议节点</x:v>
      </x:c>
      <x:c r="I4" s="16" t="str">
        <x:v>当前状态</x:v>
      </x:c>
    </x:row>
    <x:row r="5" ht="31.5" customHeight="1">
      <x:c r="A5" s="22" t="str">
        <x:v>C-01</x:v>
      </x:c>
      <x:c r="B5" s="22" t="str">
        <x:v>高</x:v>
      </x:c>
      <x:c r="C5" s="22" t="str">
        <x:v>SU-02</x:v>
      </x:c>
      <x:c r="D5" s="22" t="str">
        <x:v>销售立项与售前投入审批</x:v>
      </x:c>
      <x:c r="E5" s="22" t="str">
        <x:v>明确A-D等级与销售立项阈值、投入金额/工时分级及审批链</x:v>
      </x:c>
      <x:c r="F5" s="22" t="str">
        <x:v>商务、PMO、总经办</x:v>
      </x:c>
      <x:c r="G5" s="22" t="str">
        <x:v>决定流程触发和权限</x:v>
      </x:c>
      <x:c r="H5" s="22" t="str">
        <x:v>PRD前</x:v>
      </x:c>
      <x:c r="I5" s="22" t="str">
        <x:v>未确认</x:v>
      </x:c>
    </x:row>
    <x:row r="6" ht="31.5" customHeight="1">
      <x:c r="A6" s="23" t="str">
        <x:v>C-02</x:v>
      </x:c>
      <x:c r="B6" s="23" t="str">
        <x:v>高</x:v>
      </x:c>
      <x:c r="C6" s="23" t="str">
        <x:v>SU-03</x:v>
      </x:c>
      <x:c r="D6" s="23" t="str">
        <x:v>售前成本评估与投标协同</x:v>
      </x:c>
      <x:c r="E6" s="23" t="str">
        <x:v>明确PMO在投标前是评审参与方、资源输出方还是仅接收交底</x:v>
      </x:c>
      <x:c r="F6" s="23" t="str">
        <x:v>商务、PMO、产研、采购</x:v>
      </x:c>
      <x:c r="G6" s="23" t="str">
        <x:v>决定任务分派和责任</x:v>
      </x:c>
      <x:c r="H6" s="23" t="str">
        <x:v>PRD前</x:v>
      </x:c>
      <x:c r="I6" s="23" t="str">
        <x:v>未确认</x:v>
      </x:c>
    </x:row>
    <x:row r="7" ht="31.5" customHeight="1">
      <x:c r="A7" s="23" t="str">
        <x:v>C-03</x:v>
      </x:c>
      <x:c r="B7" s="23" t="str">
        <x:v>高</x:v>
      </x:c>
      <x:c r="C7" s="23" t="str">
        <x:v>SU-05</x:v>
      </x:c>
      <x:c r="D7" s="23" t="str">
        <x:v>提前开工例外管理</x:v>
      </x:c>
      <x:c r="E7" s="23" t="str">
        <x:v>明确授权人、预算上限、有效期、停止条件及到期未转正处置</x:v>
      </x:c>
      <x:c r="F7" s="23" t="str">
        <x:v>总经办、商务、PMO、财务</x:v>
      </x:c>
      <x:c r="G7" s="23" t="str">
        <x:v>决定例外控制和风险责任</x:v>
      </x:c>
      <x:c r="H7" s="23" t="str">
        <x:v>PRD前</x:v>
      </x:c>
      <x:c r="I7" s="23" t="str">
        <x:v>未确认</x:v>
      </x:c>
    </x:row>
    <x:row r="8" ht="31.5" customHeight="1">
      <x:c r="A8" s="23" t="str">
        <x:v>C-04</x:v>
      </x:c>
      <x:c r="B8" s="23" t="str">
        <x:v>中</x:v>
      </x:c>
      <x:c r="C8" s="23" t="str">
        <x:v>SU-06</x:v>
      </x:c>
      <x:c r="D8" s="23" t="str">
        <x:v>项目结构与工作包配置</x:v>
      </x:c>
      <x:c r="E8" s="23" t="str">
        <x:v>明确多现场、多设备情况下的交付对象，以及专业工作包启用和关闭条件</x:v>
      </x:c>
      <x:c r="F8" s="23" t="str">
        <x:v>PMO、产研</x:v>
      </x:c>
      <x:c r="G8" s="23" t="str">
        <x:v>决定项目对象模型和任务归属</x:v>
      </x:c>
      <x:c r="H8" s="23" t="str">
        <x:v>PRD前</x:v>
      </x:c>
      <x:c r="I8" s="23" t="str">
        <x:v>未确认</x:v>
      </x:c>
    </x:row>
    <x:row r="9" ht="31.5" customHeight="1">
      <x:c r="A9" s="23" t="str">
        <x:v>C-05</x:v>
      </x:c>
      <x:c r="B9" s="23" t="str">
        <x:v>高</x:v>
      </x:c>
      <x:c r="C9" s="23" t="str">
        <x:v>SU-10</x:v>
      </x:c>
      <x:c r="D9" s="23" t="str">
        <x:v>实施预算基线与审批</x:v>
      </x:c>
      <x:c r="E9" s="23" t="str">
        <x:v>统一预算表单、编制责任、审批链，并定义首台套/海外项目延迟基线</x:v>
      </x:c>
      <x:c r="F9" s="23" t="str">
        <x:v>PMO、财务、产研、采购</x:v>
      </x:c>
      <x:c r="G9" s="23" t="str">
        <x:v>决定成本基线和阶段门</x:v>
      </x:c>
      <x:c r="H9" s="23" t="str">
        <x:v>PRD前</x:v>
      </x:c>
      <x:c r="I9" s="23" t="str">
        <x:v>未确认</x:v>
      </x:c>
    </x:row>
    <x:row r="10" ht="31.5" customHeight="1">
      <x:c r="A10" s="23" t="str">
        <x:v>C-06</x:v>
      </x:c>
      <x:c r="B10" s="23" t="str">
        <x:v>高</x:v>
      </x:c>
      <x:c r="C10" s="23" t="str">
        <x:v>SU-12</x:v>
      </x:c>
      <x:c r="D10" s="23" t="str">
        <x:v>专业设计与设计评审</x:v>
      </x:c>
      <x:c r="E10" s="23" t="str">
        <x:v>确认机械/电气/软件设计分类、评审委员会角色、外部确认和设计返工规则</x:v>
      </x:c>
      <x:c r="F10" s="23" t="str">
        <x:v>产研、PMO</x:v>
      </x:c>
      <x:c r="G10" s="23" t="str">
        <x:v>决定工作包模板和设计冻结</x:v>
      </x:c>
      <x:c r="H10" s="23" t="str">
        <x:v>PRD前</x:v>
      </x:c>
      <x:c r="I10" s="23" t="str">
        <x:v>未确认</x:v>
      </x:c>
    </x:row>
    <x:row r="11" ht="31.5" customHeight="1">
      <x:c r="A11" s="23" t="str">
        <x:v>C-07</x:v>
      </x:c>
      <x:c r="B11" s="23" t="str">
        <x:v>中</x:v>
      </x:c>
      <x:c r="C11" s="23" t="str">
        <x:v>SU-17</x:v>
      </x:c>
      <x:c r="D11" s="23" t="str">
        <x:v>分级调试与验证</x:v>
      </x:c>
      <x:c r="E11" s="23" t="str">
        <x:v>明确远程手动、半自动、自动、全流程ECS的启用/跳过条件及安全培训有效期</x:v>
      </x:c>
      <x:c r="F11" s="23" t="str">
        <x:v>PMO、产研、安全</x:v>
      </x:c>
      <x:c r="G11" s="23" t="str">
        <x:v>决定流程分支和复用</x:v>
      </x:c>
      <x:c r="H11" s="23" t="str">
        <x:v>PRD前</x:v>
      </x:c>
      <x:c r="I11" s="23" t="str">
        <x:v>未确认</x:v>
      </x:c>
    </x:row>
    <x:row r="12" ht="31.5" customHeight="1">
      <x:c r="A12" s="23" t="str">
        <x:v>C-08</x:v>
      </x:c>
      <x:c r="B12" s="23" t="str">
        <x:v>高</x:v>
      </x:c>
      <x:c r="C12" s="23" t="str">
        <x:v>SU-22</x:v>
      </x:c>
      <x:c r="D12" s="23" t="str">
        <x:v>项目日报与周报</x:v>
      </x:c>
      <x:c r="E12" s="23" t="str">
        <x:v>按现状修订：项目经理形成日报汇总，成员通过任务反馈/周报提供数据</x:v>
      </x:c>
      <x:c r="F12" s="23" t="str">
        <x:v>PMO、项目经理</x:v>
      </x:c>
      <x:c r="G12" s="23" t="str">
        <x:v>决定填报角色、频率和数据来源</x:v>
      </x:c>
      <x:c r="H12" s="23" t="str">
        <x:v>BRD修订</x:v>
      </x:c>
      <x:c r="I12" s="23" t="str">
        <x:v>未确认</x:v>
      </x:c>
    </x:row>
    <x:row r="13" ht="31.5" customHeight="1">
      <x:c r="A13" s="23" t="str">
        <x:v>C-09</x:v>
      </x:c>
      <x:c r="B13" s="23" t="str">
        <x:v>中</x:v>
      </x:c>
      <x:c r="C13" s="23" t="str">
        <x:v>SU-23</x:v>
      </x:c>
      <x:c r="D13" s="23" t="str">
        <x:v>事项闭环中心</x:v>
      </x:c>
      <x:c r="E13" s="23" t="str">
        <x:v>统一问题、风险、变更、安全的基础字段，同时明确各自权限、审批和关闭标准</x:v>
      </x:c>
      <x:c r="F13" s="23" t="str">
        <x:v>PMO、产研、安全</x:v>
      </x:c>
      <x:c r="G13" s="23" t="str">
        <x:v>决定公共引擎与子流程边界</x:v>
      </x:c>
      <x:c r="H13" s="23" t="str">
        <x:v>PRD前</x:v>
      </x:c>
      <x:c r="I13" s="23" t="str">
        <x:v>未确认</x:v>
      </x:c>
    </x:row>
    <x:row r="14" ht="31.5" customHeight="1">
      <x:c r="A14" s="23" t="str">
        <x:v>C-10</x:v>
      </x:c>
      <x:c r="B14" s="23" t="str">
        <x:v>中</x:v>
      </x:c>
      <x:c r="C14" s="23" t="str">
        <x:v>SU-26</x:v>
      </x:c>
      <x:c r="D14" s="23" t="str">
        <x:v>绩效证据快照</x:v>
      </x:c>
      <x:c r="E14" s="23" t="str">
        <x:v>明确KPI与OKR适用角色、评价周期、人工调整权限；系统先提供证据而非自动评分</x:v>
      </x:c>
      <x:c r="F14" s="23" t="str">
        <x:v>PMO、人力、部门负责人</x:v>
      </x:c>
      <x:c r="G14" s="23" t="str">
        <x:v>决定绩效数据模型</x:v>
      </x:c>
      <x:c r="H14" s="23" t="str">
        <x:v>PRD前</x:v>
      </x:c>
      <x:c r="I14" s="23" t="str">
        <x:v>未确认</x:v>
      </x:c>
    </x:row>
  </x:sheetData>
  <x:mergeCells>
    <x:mergeCell ref="A1:I1"/>
    <x:mergeCell ref="A2:I2"/>
  </x:mergeCells>
  <x:conditionalFormatting sqref="A5:I14">
    <x:cfRule type="expression" dxfId="3" priority="1">
      <x:formula>$B5="高"</x:formula>
    </x:cfRule>
  </x:conditionalFormatting>
  <x:conditionalFormatting sqref="I5:I14">
    <x:cfRule type="containsText" dxfId="4" priority="2" operator="containsText" text="未确认"/>
  </x:conditionalFormatting>
  <x:dataValidations count="2">
    <x:dataValidation type="list" sqref="B5:B14">
      <x:formula1>"高,中,低"</x:formula1>
    </x:dataValidation>
    <x:dataValidation type="list" sqref="I5:I14">
      <x:formula1>"未确认,讨论中,已确认,不采纳"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f1b75e39374862"/>
  </x:tableParts>
</x:worksheet>
</file>